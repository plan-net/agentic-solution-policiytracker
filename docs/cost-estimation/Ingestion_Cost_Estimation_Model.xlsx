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ngeshkarangutkar/Documents/Agentic_AI/policiytracker-agentic-solution/agentic-solution-policiytracker/docs/cost-estimation/"/>
    </mc:Choice>
  </mc:AlternateContent>
  <xr:revisionPtr revIDLastSave="0" documentId="13_ncr:1_{5EB4A4DD-9AAE-8E4F-A25C-17D230942ADE}" xr6:coauthVersionLast="47" xr6:coauthVersionMax="47" xr10:uidLastSave="{00000000-0000-0000-0000-000000000000}"/>
  <bookViews>
    <workbookView xWindow="0" yWindow="600" windowWidth="27040" windowHeight="15760" activeTab="1" xr2:uid="{00000000-000D-0000-FFFF-FFFF00000000}"/>
  </bookViews>
  <sheets>
    <sheet name="Dashboard" sheetId="1" r:id="rId1"/>
    <sheet name="Input Parameters" sheetId="2" r:id="rId2"/>
    <sheet name="Pricing Reference" sheetId="3" r:id="rId3"/>
    <sheet name="Cost Calculator" sheetId="4" r:id="rId4"/>
    <sheet name="Scenario Comparison" sheetId="5" r:id="rId5"/>
    <sheet name="Historical Valid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2" l="1"/>
  <c r="B46" i="2"/>
  <c r="B19" i="2"/>
  <c r="B7" i="1" l="1"/>
  <c r="B6" i="1"/>
  <c r="D8" i="1" s="1"/>
  <c r="F31" i="6"/>
  <c r="F30" i="6"/>
  <c r="F29" i="6"/>
  <c r="F28" i="6"/>
  <c r="D91" i="4"/>
  <c r="D90" i="4"/>
  <c r="D89" i="4"/>
  <c r="D85" i="4"/>
  <c r="D84" i="4"/>
  <c r="D83" i="4"/>
  <c r="D79" i="4"/>
  <c r="D77" i="4"/>
  <c r="D68" i="4"/>
  <c r="D66" i="4"/>
  <c r="D65" i="4"/>
  <c r="D63" i="4"/>
  <c r="D61" i="4"/>
  <c r="D60" i="4"/>
  <c r="D58" i="4"/>
  <c r="D56" i="4"/>
  <c r="D54" i="4"/>
  <c r="D53" i="4"/>
  <c r="D52" i="4"/>
  <c r="D48" i="4"/>
  <c r="D47" i="4"/>
  <c r="D46" i="4"/>
  <c r="D44" i="4"/>
  <c r="D42" i="4"/>
  <c r="D41" i="4"/>
  <c r="D40" i="4"/>
  <c r="D38" i="4"/>
  <c r="D37" i="4"/>
  <c r="D36" i="4"/>
  <c r="D34" i="4"/>
  <c r="D33" i="4"/>
  <c r="D32" i="4"/>
  <c r="D27" i="4"/>
  <c r="D24" i="4"/>
  <c r="D23" i="4"/>
  <c r="D21" i="4"/>
  <c r="D20" i="4"/>
  <c r="D16" i="4"/>
  <c r="D14" i="4"/>
  <c r="D13" i="4"/>
  <c r="D12" i="4"/>
  <c r="D10" i="4"/>
  <c r="D9" i="4"/>
  <c r="D8" i="4"/>
  <c r="D7" i="4"/>
  <c r="D6" i="4"/>
  <c r="B49" i="3"/>
  <c r="D31" i="4" s="1"/>
  <c r="B48" i="3"/>
  <c r="B47" i="3"/>
  <c r="B46" i="3"/>
  <c r="B45" i="3"/>
  <c r="D46" i="2"/>
  <c r="D7" i="1"/>
  <c r="D6" i="1"/>
  <c r="B8" i="1" l="1"/>
</calcChain>
</file>

<file path=xl/sharedStrings.xml><?xml version="1.0" encoding="utf-8"?>
<sst xmlns="http://schemas.openxmlformats.org/spreadsheetml/2006/main" count="1497" uniqueCount="823">
  <si>
    <t>Document Ingestion Cost Estimation Dashboard</t>
  </si>
  <si>
    <t>Generated: 2026-03-19</t>
  </si>
  <si>
    <t>QUICK COST ESTIMATOR</t>
  </si>
  <si>
    <t>Input Parameter</t>
  </si>
  <si>
    <t>Value</t>
  </si>
  <si>
    <t>Unit</t>
  </si>
  <si>
    <t>Formula Reference</t>
  </si>
  <si>
    <t>Documents per Month</t>
  </si>
  <si>
    <t>500</t>
  </si>
  <si>
    <t>docs</t>
  </si>
  <si>
    <t>Monthly Cost Estimate</t>
  </si>
  <si>
    <t>$125.00</t>
  </si>
  <si>
    <t>USD</t>
  </si>
  <si>
    <t>Cost per Document</t>
  </si>
  <si>
    <t>$0.25</t>
  </si>
  <si>
    <t>KEY METRICS SUMMARY</t>
  </si>
  <si>
    <t>Metric</t>
  </si>
  <si>
    <t>Current Month</t>
  </si>
  <si>
    <t>Previous Month</t>
  </si>
  <si>
    <t>Change</t>
  </si>
  <si>
    <t>%</t>
  </si>
  <si>
    <t>Status</t>
  </si>
  <si>
    <t>Total Monthly Cost</t>
  </si>
  <si>
    <t>$118.50</t>
  </si>
  <si>
    <t>$6.50</t>
  </si>
  <si>
    <t>5.5%</t>
  </si>
  <si>
    <t>🟡</t>
  </si>
  <si>
    <t>Total Documents Processed</t>
  </si>
  <si>
    <t>475</t>
  </si>
  <si>
    <t>25</t>
  </si>
  <si>
    <t>5.3%</t>
  </si>
  <si>
    <t>🟢</t>
  </si>
  <si>
    <t>$0.00</t>
  </si>
  <si>
    <t>0.0%</t>
  </si>
  <si>
    <t>Budget Utilization</t>
  </si>
  <si>
    <t>62.5%</t>
  </si>
  <si>
    <t>59.3%</t>
  </si>
  <si>
    <t>3.2%</t>
  </si>
  <si>
    <t>5.4%</t>
  </si>
  <si>
    <t>COST BREAKDOWN BY COMPONENT</t>
  </si>
  <si>
    <t>Component</t>
  </si>
  <si>
    <t>Monthly Cost</t>
  </si>
  <si>
    <t>% of Total</t>
  </si>
  <si>
    <t>Annual Projection</t>
  </si>
  <si>
    <t>ETL Collection</t>
  </si>
  <si>
    <t>$25.00</t>
  </si>
  <si>
    <t>20.0%</t>
  </si>
  <si>
    <t>$300.00</t>
  </si>
  <si>
    <t>LLM Processing (Entity Extraction)</t>
  </si>
  <si>
    <t>$75.00</t>
  </si>
  <si>
    <t>60.0%</t>
  </si>
  <si>
    <t>$900.00</t>
  </si>
  <si>
    <t>Embedding Generation</t>
  </si>
  <si>
    <t>Total</t>
  </si>
  <si>
    <t>100.0%</t>
  </si>
  <si>
    <t>$1,500.00</t>
  </si>
  <si>
    <t>ANNUAL PROJECTION</t>
  </si>
  <si>
    <t>Month</t>
  </si>
  <si>
    <t>Estimated Cost</t>
  </si>
  <si>
    <t>Actual Cost</t>
  </si>
  <si>
    <t>Variance</t>
  </si>
  <si>
    <t>Notes</t>
  </si>
  <si>
    <t>January</t>
  </si>
  <si>
    <t>Forecast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</si>
  <si>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</si>
  <si>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</si>
  <si>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</si>
  <si>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</si>
  <si>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</si>
  <si>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</si>
  <si>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</si>
  <si>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</si>
  <si>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</si>
  <si>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</si>
  <si>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</si>
  <si>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</si>
  <si>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>BUDGET STATUS INDICATORS</t>
  </si>
  <si>
    <t>Threshold</t>
  </si>
  <si>
    <t>Current</t>
  </si>
  <si>
    <t>Monthly Budget</t>
  </si>
  <si>
    <t>$200.00</t>
  </si>
  <si>
    <t>🟢 Under Budget</t>
  </si>
  <si>
    <t>$0.50</t>
  </si>
  <si>
    <t>🟢 Efficient</t>
  </si>
  <si>
    <t>Processing Quality</t>
  </si>
  <si>
    <t>90%</t>
  </si>
  <si>
    <t>95%</t>
  </si>
  <si>
    <t>🟢 Excellent</t>
  </si>
  <si>
    <t>Cache Hit Rate</t>
  </si>
  <si>
    <t>80%</t>
  </si>
  <si>
    <t>85%</t>
  </si>
  <si>
    <t>🟢 Optimal</t>
  </si>
  <si>
    <t>INSTRUCTIONS</t>
  </si>
  <si>
    <t>1. Update 'Input Parameters' sheet to adjust document volumes and model selection</t>
  </si>
  <si>
    <t>2. Check 'Pricing Reference' sheet to ensure API prices are current</t>
  </si>
  <si>
    <t>3. Use 'Scenario Comparison' sheet to evaluate different configurations</t>
  </si>
  <si>
    <t>4. Record actual costs in 'Historical Validation' sheet for accuracy tracking</t>
  </si>
  <si>
    <t>INPUT PARAMETERS - Document Ingestion Cost Estimation</t>
  </si>
  <si>
    <t>Last Updated: 2026-03-19</t>
  </si>
  <si>
    <t>DOCUMENT CHARACTERISTICS</t>
  </si>
  <si>
    <t>Parameter</t>
  </si>
  <si>
    <t>Total Documents per Month</t>
  </si>
  <si>
    <t>Combined policy + news</t>
  </si>
  <si>
    <t xml:space="preserve">  - Policy Documents</t>
  </si>
  <si>
    <t>Weekly collection</t>
  </si>
  <si>
    <t xml:space="preserve">  - News Articles</t>
  </si>
  <si>
    <t>Daily collection</t>
  </si>
  <si>
    <t>Average Document Length</t>
  </si>
  <si>
    <t>5000</t>
  </si>
  <si>
    <t>tokens</t>
  </si>
  <si>
    <t>Document Language Mix</t>
  </si>
  <si>
    <t>100</t>
  </si>
  <si>
    <t>Multilingual (affects embedding quality)</t>
  </si>
  <si>
    <t>CHUNK CONFIGURATION</t>
  </si>
  <si>
    <t>Default Chunk Size</t>
  </si>
  <si>
    <t>1500</t>
  </si>
  <si>
    <t>Safety margin below 128K limit</t>
  </si>
  <si>
    <t>Adaptive Max Chunk Size</t>
  </si>
  <si>
    <t>For large documents</t>
  </si>
  <si>
    <t>Chunk Overlap Percentage</t>
  </si>
  <si>
    <t>10</t>
  </si>
  <si>
    <t>Context preservation between chunks</t>
  </si>
  <si>
    <t>Max Chunks per Document</t>
  </si>
  <si>
    <t>20</t>
  </si>
  <si>
    <t>chunks</t>
  </si>
  <si>
    <t>With chunk limiting strategy (0 = unlimited)</t>
  </si>
  <si>
    <t>Average Chunks per Document</t>
  </si>
  <si>
    <t>Formula: =CEILING(B5/B11,1)</t>
  </si>
  <si>
    <t>MODEL SELECTION</t>
  </si>
  <si>
    <t>Options</t>
  </si>
  <si>
    <t>LLM Model for Entity Extraction</t>
  </si>
  <si>
    <t>gpt-4o-mini</t>
  </si>
  <si>
    <t>gpt-4o-mini, gpt-4o, claude-sonnet-4, claude-haiku</t>
  </si>
  <si>
    <t>Cost vs quality tradeoff</t>
  </si>
  <si>
    <t>Embedding Model</t>
  </si>
  <si>
    <t>text-embedding-3-small</t>
  </si>
  <si>
    <t>text-embedding-3-small, text-embedding-3-large, text-embedding-ada-002</t>
  </si>
  <si>
    <t>Current production model</t>
  </si>
  <si>
    <t>Enable Prompt Caching</t>
  </si>
  <si>
    <t>YES</t>
  </si>
  <si>
    <t>YES, NO</t>
  </si>
  <si>
    <t>90% discount (Anthropic) / 50% (OpenAI)</t>
  </si>
  <si>
    <t>Expected Cache Hit Rate</t>
  </si>
  <si>
    <t>With prompt caching enabled</t>
  </si>
  <si>
    <t>PROCESSING CONFIGURATION</t>
  </si>
  <si>
    <t>Batch Size</t>
  </si>
  <si>
    <t>Ray Data processing batch</t>
  </si>
  <si>
    <t>Parallel Workers</t>
  </si>
  <si>
    <t>4</t>
  </si>
  <si>
    <t>workers</t>
  </si>
  <si>
    <t>Concurrent processing</t>
  </si>
  <si>
    <t>Enable Chunk Limiting</t>
  </si>
  <si>
    <t>Reduces costs for large docs (39-85% savings)</t>
  </si>
  <si>
    <t>Retry/Error Overhead</t>
  </si>
  <si>
    <t>15</t>
  </si>
  <si>
    <t>Buffer for failures and retries</t>
  </si>
  <si>
    <t>ETL COLLECTION SETTINGS</t>
  </si>
  <si>
    <t>Exa.ai Queries per Document</t>
  </si>
  <si>
    <t>2</t>
  </si>
  <si>
    <t>queries</t>
  </si>
  <si>
    <t>Average for policy landscape</t>
  </si>
  <si>
    <t>Apify Documents per Request</t>
  </si>
  <si>
    <t>News aggregation batch size</t>
  </si>
  <si>
    <t>Max Results per Query</t>
  </si>
  <si>
    <t>results</t>
  </si>
  <si>
    <t>ETL collection limit</t>
  </si>
  <si>
    <t>Collection Frequency (Policy)</t>
  </si>
  <si>
    <t>Weekly</t>
  </si>
  <si>
    <t>7-day lookback</t>
  </si>
  <si>
    <t>Collection Frequency (News)</t>
  </si>
  <si>
    <t>Daily</t>
  </si>
  <si>
    <t>24-hour lookback</t>
  </si>
  <si>
    <t>SCHEMA OVERHEAD (Auto-calculated)</t>
  </si>
  <si>
    <t>Entity Schema Size</t>
  </si>
  <si>
    <t>Graphiti entity type definitions</t>
  </si>
  <si>
    <t>Edge Schema Size</t>
  </si>
  <si>
    <t>Graphiti relationship type definitions</t>
  </si>
  <si>
    <t>Total Schema Overhead per Chunk</t>
  </si>
  <si>
    <t>18600</t>
  </si>
  <si>
    <t>Effective Schema Tokens (Cached)</t>
  </si>
  <si>
    <t>2790</t>
  </si>
  <si>
    <t>QUALITY VS COST TRADEOFF</t>
  </si>
  <si>
    <t>Configuration</t>
  </si>
  <si>
    <t>Quality Score</t>
  </si>
  <si>
    <t>Recommended For</t>
  </si>
  <si>
    <t>Low Cost (gpt-4o-mini + embedding-3-small)</t>
  </si>
  <si>
    <t>$125</t>
  </si>
  <si>
    <t>Good (90%)</t>
  </si>
  <si>
    <t>High volume, budget-conscious</t>
  </si>
  <si>
    <t>Balanced (gpt-4o-mini + embedding-ada-002)</t>
  </si>
  <si>
    <t>$185</t>
  </si>
  <si>
    <t>Excellent (100% multilingual)</t>
  </si>
  <si>
    <t>Production default</t>
  </si>
  <si>
    <t>High Quality (claude-sonnet + embedding-3-large)</t>
  </si>
  <si>
    <t>$425</t>
  </si>
  <si>
    <t>Premium (95%+ accuracy)</t>
  </si>
  <si>
    <t>Critical analysis</t>
  </si>
  <si>
    <t>NOTES AND ASSUMPTIONS</t>
  </si>
  <si>
    <t>1. Document length varies widely; 5,000 tokens is conservative average</t>
  </si>
  <si>
    <t>2. Cache hit rate assumes warm cache; cold start may be lower (50-60%)</t>
  </si>
  <si>
    <t>3. Schema overhead applies per chunk with entity/edge extraction</t>
  </si>
  <si>
    <t>4. Chunk limiting strategy reduces chunks for large docs (&gt;50K tokens)</t>
  </si>
  <si>
    <t>5. ETL costs are estimates; actual pricing from Exa.ai/Apify may vary</t>
  </si>
  <si>
    <t>PRICING REFERENCE - API Costs (per 1M tokens unless noted)</t>
  </si>
  <si>
    <t>Source: apisix/config/llm_pricing.yaml + External APIs</t>
  </si>
  <si>
    <t>ETL COLLECTION COSTS (External APIs)</t>
  </si>
  <si>
    <t>Service</t>
  </si>
  <si>
    <t>Cost Type</t>
  </si>
  <si>
    <t>Unit Cost</t>
  </si>
  <si>
    <t>Update Required</t>
  </si>
  <si>
    <t>Exa.ai</t>
  </si>
  <si>
    <t>Per Query</t>
  </si>
  <si>
    <t>$0.05</t>
  </si>
  <si>
    <t>query</t>
  </si>
  <si>
    <t>PLACEHOLDER - Update with actual pricing</t>
  </si>
  <si>
    <t>Apify</t>
  </si>
  <si>
    <t>Per Document</t>
  </si>
  <si>
    <t>$0.01</t>
  </si>
  <si>
    <t>document</t>
  </si>
  <si>
    <t>Web Search</t>
  </si>
  <si>
    <t>Per Request</t>
  </si>
  <si>
    <t>search</t>
  </si>
  <si>
    <t>SDK cost tracker hardcoded value</t>
  </si>
  <si>
    <t>NO</t>
  </si>
  <si>
    <t>OPENAI LLM MODELS (Chat/Completion)</t>
  </si>
  <si>
    <t>Model</t>
  </si>
  <si>
    <t>Input Cost</t>
  </si>
  <si>
    <t>Output Cost</t>
  </si>
  <si>
    <t>Context Window</t>
  </si>
  <si>
    <t>Best For</t>
  </si>
  <si>
    <t>$0.15</t>
  </si>
  <si>
    <t>$0.60</t>
  </si>
  <si>
    <t>128K tokens</t>
  </si>
  <si>
    <t>Production entity extraction</t>
  </si>
  <si>
    <t>gpt-4o</t>
  </si>
  <si>
    <t>$2.50</t>
  </si>
  <si>
    <t>$10.00</t>
  </si>
  <si>
    <t>High accuracy requirements</t>
  </si>
  <si>
    <t>gpt-4-turbo</t>
  </si>
  <si>
    <t>$30.00</t>
  </si>
  <si>
    <t>Complex analysis (expensive)</t>
  </si>
  <si>
    <t>gpt-3.5-turbo</t>
  </si>
  <si>
    <t>$1.50</t>
  </si>
  <si>
    <t>16K tokens</t>
  </si>
  <si>
    <t>Legacy (not recommended)</t>
  </si>
  <si>
    <t>ANTHROPIC LLM MODELS (Chat/Completion)</t>
  </si>
  <si>
    <t>Cache Discount</t>
  </si>
  <si>
    <t>claude-3-5-sonnet-20241022</t>
  </si>
  <si>
    <t>$3.00</t>
  </si>
  <si>
    <t>$15.00</t>
  </si>
  <si>
    <t>200K tokens</t>
  </si>
  <si>
    <t>Balanced quality/cost</t>
  </si>
  <si>
    <t>claude-3-5-haiku-20241022</t>
  </si>
  <si>
    <t>$1.00</t>
  </si>
  <si>
    <t>$5.00</t>
  </si>
  <si>
    <t>Fast processing</t>
  </si>
  <si>
    <t>claude-3-opus-20240229</t>
  </si>
  <si>
    <t>Premium quality (expensive)</t>
  </si>
  <si>
    <t>claude-3-haiku-20240307</t>
  </si>
  <si>
    <t>$1.25</t>
  </si>
  <si>
    <t>Budget option</t>
  </si>
  <si>
    <t>EMBEDDING MODELS (OpenAI)</t>
  </si>
  <si>
    <t>Dimensions</t>
  </si>
  <si>
    <t>Multilingual Quality</t>
  </si>
  <si>
    <t>Recommended</t>
  </si>
  <si>
    <t>$0.02</t>
  </si>
  <si>
    <t>1536</t>
  </si>
  <si>
    <t>Poor (13%)</t>
  </si>
  <si>
    <t>Current production</t>
  </si>
  <si>
    <t>text-embedding-3-large</t>
  </si>
  <si>
    <t>$0.13</t>
  </si>
  <si>
    <t>3072</t>
  </si>
  <si>
    <t>Moderate (25%)</t>
  </si>
  <si>
    <t>High quality option</t>
  </si>
  <si>
    <t>text-embedding-ada-002</t>
  </si>
  <si>
    <t>$0.10</t>
  </si>
  <si>
    <t>Excellent (100%)</t>
  </si>
  <si>
    <t>Best multilingual</t>
  </si>
  <si>
    <t>PROMPT CACHING DISCOUNTS</t>
  </si>
  <si>
    <t>Provider</t>
  </si>
  <si>
    <t>Cache Write Cost</t>
  </si>
  <si>
    <t>Cache Read Discount</t>
  </si>
  <si>
    <t>Minimum Cacheable</t>
  </si>
  <si>
    <t>OpenAI</t>
  </si>
  <si>
    <t>Same as input</t>
  </si>
  <si>
    <t>50%</t>
  </si>
  <si>
    <t>1024 tokens</t>
  </si>
  <si>
    <t>Automatic prefix caching</t>
  </si>
  <si>
    <t>Anthropic</t>
  </si>
  <si>
    <t>25% of input cost</t>
  </si>
  <si>
    <t>Explicit cache_control markers</t>
  </si>
  <si>
    <t>COST OPTIMIZATION STRATEGIES</t>
  </si>
  <si>
    <t>Strategy</t>
  </si>
  <si>
    <t>Savings Potential</t>
  </si>
  <si>
    <t>Implementation</t>
  </si>
  <si>
    <t>Chunk Limiting (large docs)</t>
  </si>
  <si>
    <t>39-85%</t>
  </si>
  <si>
    <t>Enabled in config</t>
  </si>
  <si>
    <t>IMPLEMENTED</t>
  </si>
  <si>
    <t>Prompt Caching (schema)</t>
  </si>
  <si>
    <t>50-90% on schema tokens</t>
  </si>
  <si>
    <t>Enable in LLM client</t>
  </si>
  <si>
    <t>Smaller Embedding Model</t>
  </si>
  <si>
    <t>80% vs ada-002</t>
  </si>
  <si>
    <t>Use text-embedding-3-small</t>
  </si>
  <si>
    <t>Batch Processing</t>
  </si>
  <si>
    <t>Indirect (throughput)</t>
  </si>
  <si>
    <t>Ray Data batching</t>
  </si>
  <si>
    <t>CALCULATED COSTS (Helper Formulas)</t>
  </si>
  <si>
    <t>Description</t>
  </si>
  <si>
    <t>Formula</t>
  </si>
  <si>
    <t>Result</t>
  </si>
  <si>
    <t>Cost per 1K tokens (gpt-4o-mini input)</t>
  </si>
  <si>
    <t>$0.00015</t>
  </si>
  <si>
    <t>For smaller calculations</t>
  </si>
  <si>
    <t>Cost per 1K tokens (gpt-4o-mini output)</t>
  </si>
  <si>
    <t>$0.00060</t>
  </si>
  <si>
    <t>Cost per 1K tokens (embedding-3-small)</t>
  </si>
  <si>
    <t>$0.00002</t>
  </si>
  <si>
    <t>For embedding calculations</t>
  </si>
  <si>
    <t>Schema cost per chunk (no cache)</t>
  </si>
  <si>
    <t>$0.00279</t>
  </si>
  <si>
    <t>18.6K tokens at gpt-4o-mini rate</t>
  </si>
  <si>
    <t>Schema cost per chunk (85% cache)</t>
  </si>
  <si>
    <t>$0.00042</t>
  </si>
  <si>
    <t>With caching, 85% discount</t>
  </si>
  <si>
    <t>PRICING ASSUMPTIONS AND NOTES</t>
  </si>
  <si>
    <t>1. All prices are per 1 million tokens unless otherwise noted</t>
  </si>
  <si>
    <t>2. ETL costs (Exa.ai, Apify) are placeholders - UPDATE WITH ACTUAL PRICING</t>
  </si>
  <si>
    <t>3. OpenAI pricing from official pricing page (as of Dec 2024)</t>
  </si>
  <si>
    <t>4. Anthropic pricing from official pricing page (as of Dec 2024)</t>
  </si>
  <si>
    <t>5. Prompt caching requires minimum 1024 tokens to be effective</t>
  </si>
  <si>
    <t>6. Cache read discount applies only to cached portion, not entire prompt</t>
  </si>
  <si>
    <t>7. Schema overhead (18,600 tokens) benefits significantly from caching</t>
  </si>
  <si>
    <t>8. Embedding costs apply to full document length (no output tokens)</t>
  </si>
  <si>
    <t>COST COMPARISON EXAMPLE (500 docs/month)</t>
  </si>
  <si>
    <t>Monthly LLM Cost</t>
  </si>
  <si>
    <t>Monthly Embed Cost</t>
  </si>
  <si>
    <t>Total Monthly</t>
  </si>
  <si>
    <t>Cheapest (4o-mini + small)</t>
  </si>
  <si>
    <t>$ 75.00</t>
  </si>
  <si>
    <t>$ 25.00</t>
  </si>
  <si>
    <t>$100.00</t>
  </si>
  <si>
    <t>$1,200.00</t>
  </si>
  <si>
    <t>Recommended (4o-mini + ada-002)</t>
  </si>
  <si>
    <t>$110.00</t>
  </si>
  <si>
    <t>$185.00</t>
  </si>
  <si>
    <t>$2,220.00</t>
  </si>
  <si>
    <t>Premium (claude-sonnet + large)</t>
  </si>
  <si>
    <t>$325.00</t>
  </si>
  <si>
    <t>$525.00</t>
  </si>
  <si>
    <t>$6,300.00</t>
  </si>
  <si>
    <t>UPDATE SCHEDULE</t>
  </si>
  <si>
    <t>Item</t>
  </si>
  <si>
    <t>Frequency</t>
  </si>
  <si>
    <t>Last Updated</t>
  </si>
  <si>
    <t>Next Review</t>
  </si>
  <si>
    <t>OpenAI Pricing</t>
  </si>
  <si>
    <t>Quarterly</t>
  </si>
  <si>
    <t>2026-03-19</t>
  </si>
  <si>
    <t>[DATE + 3 months]</t>
  </si>
  <si>
    <t>Anthropic Pricing</t>
  </si>
  <si>
    <t>Exa.ai Pricing</t>
  </si>
  <si>
    <t>Monthly</t>
  </si>
  <si>
    <t>[UPDATE REQUIRED]</t>
  </si>
  <si>
    <t>[AFTER UPDATE]</t>
  </si>
  <si>
    <t>Apify Pricing</t>
  </si>
  <si>
    <t>COST CALCULATOR - Detailed Breakdown</t>
  </si>
  <si>
    <t>Auto-calculates from Input Parameters and Pricing Reference</t>
  </si>
  <si>
    <t>STEP 1: ETL COLLECTION COST</t>
  </si>
  <si>
    <t>Calculation</t>
  </si>
  <si>
    <t>Documents to Collect</t>
  </si>
  <si>
    <t>From Input Parameters</t>
  </si>
  <si>
    <t>Exa.ai Queries per Doc</t>
  </si>
  <si>
    <t>Total Exa.ai Queries</t>
  </si>
  <si>
    <t>Docs × Queries</t>
  </si>
  <si>
    <t>1000</t>
  </si>
  <si>
    <t>Exa.ai Cost per Query</t>
  </si>
  <si>
    <t>From Pricing Reference</t>
  </si>
  <si>
    <t>Total Exa.ai Cost</t>
  </si>
  <si>
    <t>Queries × Cost per Query</t>
  </si>
  <si>
    <t>$50.00</t>
  </si>
  <si>
    <t>Apify Documents</t>
  </si>
  <si>
    <t>Assume 50% from Apify</t>
  </si>
  <si>
    <t>250</t>
  </si>
  <si>
    <t>Apify Cost per Document</t>
  </si>
  <si>
    <t>Total Apify Cost</t>
  </si>
  <si>
    <t>Docs × Cost per Doc</t>
  </si>
  <si>
    <t>Total ETL Collection Cost</t>
  </si>
  <si>
    <t>Exa.ai + Apify</t>
  </si>
  <si>
    <t>$52.50</t>
  </si>
  <si>
    <t>STEP 2: DOCUMENT CHUNKING CALCULATION</t>
  </si>
  <si>
    <t>Chunks per Document (Raw)</t>
  </si>
  <si>
    <t>Ceiling(Length / Chunk Size)</t>
  </si>
  <si>
    <t>Chunk Limiting Enabled?</t>
  </si>
  <si>
    <t>Effective Chunks per Document</t>
  </si>
  <si>
    <t>If limiting enabled, MIN(raw, max)</t>
  </si>
  <si>
    <t>Total Chunks to Process</t>
  </si>
  <si>
    <t>Docs × Chunks per Doc</t>
  </si>
  <si>
    <t>2000</t>
  </si>
  <si>
    <t>STEP 3: LLM PROCESSING COST (Entity Extraction)</t>
  </si>
  <si>
    <t>Schema Overhead per Chunk</t>
  </si>
  <si>
    <t>Entity + Edge schemas</t>
  </si>
  <si>
    <t>Prompt Caching Enabled?</t>
  </si>
  <si>
    <t>Effective Schema Tokens</t>
  </si>
  <si>
    <t>Schema × (1 - Cache Rate)</t>
  </si>
  <si>
    <t>Total Schema Input Tokens</t>
  </si>
  <si>
    <t>Chunks × Effective Schema</t>
  </si>
  <si>
    <t>5580000</t>
  </si>
  <si>
    <t>Content Input Tokens (avg)</t>
  </si>
  <si>
    <t>Content per chunk</t>
  </si>
  <si>
    <t>3000000</t>
  </si>
  <si>
    <t>Total Input Tokens</t>
  </si>
  <si>
    <t>Schema + Content</t>
  </si>
  <si>
    <t>8580000</t>
  </si>
  <si>
    <t>Selected LLM Model</t>
  </si>
  <si>
    <t>LLM Input Price (per 1M)</t>
  </si>
  <si>
    <t>LLM Output Price (per 1M)</t>
  </si>
  <si>
    <t>Estimated Output Tokens</t>
  </si>
  <si>
    <t>~20% of input (entities)</t>
  </si>
  <si>
    <t>1716000</t>
  </si>
  <si>
    <t>LLM Input Cost</t>
  </si>
  <si>
    <t>Input Tokens × Price per M</t>
  </si>
  <si>
    <t>$1.29</t>
  </si>
  <si>
    <t>LLM Output Cost</t>
  </si>
  <si>
    <t>Output Tokens × Price per M</t>
  </si>
  <si>
    <t>$1.03</t>
  </si>
  <si>
    <t>Total LLM Processing Cost</t>
  </si>
  <si>
    <t>Input + Output</t>
  </si>
  <si>
    <t>$2.32</t>
  </si>
  <si>
    <t>STEP 4: EMBEDDING GENERATION COST</t>
  </si>
  <si>
    <t>Total Document Length (Tokens)</t>
  </si>
  <si>
    <t>Docs × Avg Length</t>
  </si>
  <si>
    <t>2500000</t>
  </si>
  <si>
    <t>Selected Embedding Model</t>
  </si>
  <si>
    <t>Embedding Price (per 1M)</t>
  </si>
  <si>
    <t>Episode Embedding Cost</t>
  </si>
  <si>
    <t>Length × Price per M</t>
  </si>
  <si>
    <t>Entity Embeddings</t>
  </si>
  <si>
    <t>Estimate ~200 entities/doc</t>
  </si>
  <si>
    <t>100000</t>
  </si>
  <si>
    <t>Avg Entity Name Length</t>
  </si>
  <si>
    <t>Tokens</t>
  </si>
  <si>
    <t>Assumption</t>
  </si>
  <si>
    <t>Total Entity Tokens</t>
  </si>
  <si>
    <t>Entities × Avg Length</t>
  </si>
  <si>
    <t>1000000</t>
  </si>
  <si>
    <t>Entity Embedding Cost</t>
  </si>
  <si>
    <t>Tokens × Price per M</t>
  </si>
  <si>
    <t>$20.00</t>
  </si>
  <si>
    <t>Relationship Embeddings</t>
  </si>
  <si>
    <t>Estimate ~500 edges/doc</t>
  </si>
  <si>
    <t>250000</t>
  </si>
  <si>
    <t>Avg Relationship Fact Length</t>
  </si>
  <si>
    <t>Total Relationship Tokens</t>
  </si>
  <si>
    <t>Edges × Avg Length</t>
  </si>
  <si>
    <t>5000000</t>
  </si>
  <si>
    <t>Relationship Embedding Cost</t>
  </si>
  <si>
    <t>Total Embedding Cost</t>
  </si>
  <si>
    <t>Episode + Entity + Relationship</t>
  </si>
  <si>
    <t>$170.00</t>
  </si>
  <si>
    <t>STEP 5: TOTAL COST CALCULATION</t>
  </si>
  <si>
    <t>Subtotal</t>
  </si>
  <si>
    <t>ETL Collection Cost</t>
  </si>
  <si>
    <t>20.7%</t>
  </si>
  <si>
    <t>External API costs</t>
  </si>
  <si>
    <t>LLM Processing Cost</t>
  </si>
  <si>
    <t>0.9%</t>
  </si>
  <si>
    <t>Entity/relationship extraction</t>
  </si>
  <si>
    <t>Embedding Generation Cost</t>
  </si>
  <si>
    <t>67.1%</t>
  </si>
  <si>
    <t>Episodes + entities + relationships</t>
  </si>
  <si>
    <t>Subtotal (Before Overhead)</t>
  </si>
  <si>
    <t>$224.82</t>
  </si>
  <si>
    <t>88.7%</t>
  </si>
  <si>
    <t>Retry/Error Overhead (15%)</t>
  </si>
  <si>
    <t>$33.72</t>
  </si>
  <si>
    <t>TOTAL MONTHLY COST</t>
  </si>
  <si>
    <t>$258.54</t>
  </si>
  <si>
    <t>PER-DOCUMENT METRICS</t>
  </si>
  <si>
    <t>Total / Docs</t>
  </si>
  <si>
    <t>$0.52</t>
  </si>
  <si>
    <t>Cost per Chunk</t>
  </si>
  <si>
    <t>Total / Chunks</t>
  </si>
  <si>
    <t>Cost per Token (Input)</t>
  </si>
  <si>
    <t>LLM cost / Input tokens</t>
  </si>
  <si>
    <t>$0.00000027</t>
  </si>
  <si>
    <t>Monthly × 12</t>
  </si>
  <si>
    <t>Total Annual Cost</t>
  </si>
  <si>
    <t>Monthly cost</t>
  </si>
  <si>
    <t>$3,102.48</t>
  </si>
  <si>
    <t>Total Annual Documents</t>
  </si>
  <si>
    <t>Monthly docs</t>
  </si>
  <si>
    <t>6000</t>
  </si>
  <si>
    <t>Annual Cost per Document</t>
  </si>
  <si>
    <t>Annual / Docs</t>
  </si>
  <si>
    <t>COST OPTIMIZATION ANALYSIS</t>
  </si>
  <si>
    <t>Optimization</t>
  </si>
  <si>
    <t>Optimized</t>
  </si>
  <si>
    <t>Savings</t>
  </si>
  <si>
    <t>Without Chunk Limiting</t>
  </si>
  <si>
    <t>$423.16</t>
  </si>
  <si>
    <t>$164.62</t>
  </si>
  <si>
    <t>39% savings with 20-chunk limit</t>
  </si>
  <si>
    <t>Without Prompt Caching</t>
  </si>
  <si>
    <t>$516.84</t>
  </si>
  <si>
    <t>$258.30</t>
  </si>
  <si>
    <t>50% savings with 85% cache hit</t>
  </si>
  <si>
    <t>With Premium Embedding (ada-002)</t>
  </si>
  <si>
    <t>$1034.16</t>
  </si>
  <si>
    <t>-$775.62</t>
  </si>
  <si>
    <t>5x more expensive, better multilingual</t>
  </si>
  <si>
    <t>SENSITIVITY ANALYSIS</t>
  </si>
  <si>
    <t>Variable</t>
  </si>
  <si>
    <t>Base Case</t>
  </si>
  <si>
    <t>+50% Change</t>
  </si>
  <si>
    <t>Cost Impact</t>
  </si>
  <si>
    <t>% Impact</t>
  </si>
  <si>
    <t>Document Volume</t>
  </si>
  <si>
    <t>750</t>
  </si>
  <si>
    <t>$129.27</t>
  </si>
  <si>
    <t>50.0%</t>
  </si>
  <si>
    <t>Document Length</t>
  </si>
  <si>
    <t>7500</t>
  </si>
  <si>
    <t>$85.46</t>
  </si>
  <si>
    <t>33.1%</t>
  </si>
  <si>
    <t>92.5%</t>
  </si>
  <si>
    <t>-$9.19</t>
  </si>
  <si>
    <t>-3.6%</t>
  </si>
  <si>
    <t>Chunks per Doc</t>
  </si>
  <si>
    <t>6</t>
  </si>
  <si>
    <t>$77.56</t>
  </si>
  <si>
    <t>30.0%</t>
  </si>
  <si>
    <t>SCENARIO COMPARISON - What-If Analysis</t>
  </si>
  <si>
    <t>Compare different configurations side-by-side</t>
  </si>
  <si>
    <t>PRE-BUILT SCENARIOS</t>
  </si>
  <si>
    <t>Scenario A</t>
  </si>
  <si>
    <t>Scenario B</t>
  </si>
  <si>
    <t>Scenario C</t>
  </si>
  <si>
    <t>Scenario D</t>
  </si>
  <si>
    <t>Scenario E</t>
  </si>
  <si>
    <t>Scenario Name</t>
  </si>
  <si>
    <t>Low Volume</t>
  </si>
  <si>
    <t>Medium Volume</t>
  </si>
  <si>
    <t>High Volume</t>
  </si>
  <si>
    <t>Premium Quality</t>
  </si>
  <si>
    <t>Cost Optimized</t>
  </si>
  <si>
    <t>CONFIGURATION PARAMETERS</t>
  </si>
  <si>
    <t>LLM Model</t>
  </si>
  <si>
    <t>claude-sonnet-4</t>
  </si>
  <si>
    <t>embedding-3-small</t>
  </si>
  <si>
    <t>embedding-ada-002</t>
  </si>
  <si>
    <t>Prompt Caching Enabled</t>
  </si>
  <si>
    <t>Chunk Limiting Enabled</t>
  </si>
  <si>
    <t>Unlimited</t>
  </si>
  <si>
    <t>4000</t>
  </si>
  <si>
    <t>COST BREAKDOWN</t>
  </si>
  <si>
    <t>$10.50</t>
  </si>
  <si>
    <t>$105.00</t>
  </si>
  <si>
    <t>$0.46</t>
  </si>
  <si>
    <t>$4.64</t>
  </si>
  <si>
    <t>$82.50</t>
  </si>
  <si>
    <t>$34.00</t>
  </si>
  <si>
    <t>$340.00</t>
  </si>
  <si>
    <t>$550.00</t>
  </si>
  <si>
    <t>$6.74</t>
  </si>
  <si>
    <t>$67.44</t>
  </si>
  <si>
    <t>$102.75</t>
  </si>
  <si>
    <t>$51.71</t>
  </si>
  <si>
    <t>$517.08</t>
  </si>
  <si>
    <t>$787.75</t>
  </si>
  <si>
    <t>$1.58</t>
  </si>
  <si>
    <t>$0.17</t>
  </si>
  <si>
    <t>$0.39</t>
  </si>
  <si>
    <t>Chunks per Document</t>
  </si>
  <si>
    <t>3</t>
  </si>
  <si>
    <t>Annual Cost</t>
  </si>
  <si>
    <t>$620.52</t>
  </si>
  <si>
    <t>$6,204.96</t>
  </si>
  <si>
    <t>$9,453.00</t>
  </si>
  <si>
    <t>Annual Documents</t>
  </si>
  <si>
    <t>1200</t>
  </si>
  <si>
    <t>12000</t>
  </si>
  <si>
    <t>COST COMPONENT PERCENTAGES</t>
  </si>
  <si>
    <t>ETL %</t>
  </si>
  <si>
    <t>20%</t>
  </si>
  <si>
    <t>7%</t>
  </si>
  <si>
    <t>LLM Processing %</t>
  </si>
  <si>
    <t>1%</t>
  </si>
  <si>
    <t>10%</t>
  </si>
  <si>
    <t>Embedding %</t>
  </si>
  <si>
    <t>66%</t>
  </si>
  <si>
    <t>70%</t>
  </si>
  <si>
    <t>Overhead %</t>
  </si>
  <si>
    <t>13%</t>
  </si>
  <si>
    <t>QUALITY INDICATORS</t>
  </si>
  <si>
    <t>LLM Quality Score</t>
  </si>
  <si>
    <t>Premium (95%+)</t>
  </si>
  <si>
    <t>Embedding Multilingual</t>
  </si>
  <si>
    <t>Processing Speed</t>
  </si>
  <si>
    <t>Fast</t>
  </si>
  <si>
    <t>Moderate</t>
  </si>
  <si>
    <t>Overall Quality Rating</t>
  </si>
  <si>
    <t>⭐⭐⭐</t>
  </si>
  <si>
    <t>⭐⭐⭐⭐⭐</t>
  </si>
  <si>
    <t>RECOMMENDED USE CASE</t>
  </si>
  <si>
    <t>Testing/Dev</t>
  </si>
  <si>
    <t>Production (budget)</t>
  </si>
  <si>
    <t>High-volume production</t>
  </si>
  <si>
    <t>Critical multilingual</t>
  </si>
  <si>
    <t>Aggressive cost optimization</t>
  </si>
  <si>
    <t>Budget Level</t>
  </si>
  <si>
    <t>$50-100/mo</t>
  </si>
  <si>
    <t>$200-300/mo</t>
  </si>
  <si>
    <t>$400-600/mo</t>
  </si>
  <si>
    <t>$700-1000/mo</t>
  </si>
  <si>
    <t>Processing Volume</t>
  </si>
  <si>
    <t>&lt;200 docs/mo</t>
  </si>
  <si>
    <t>300-700 docs/mo</t>
  </si>
  <si>
    <t>800-1500 docs/mo</t>
  </si>
  <si>
    <t>COST COMPARISON BAR CHART DATA</t>
  </si>
  <si>
    <t>ETL</t>
  </si>
  <si>
    <t>LLM</t>
  </si>
  <si>
    <t>Embeddings</t>
  </si>
  <si>
    <t>Overhead</t>
  </si>
  <si>
    <t>CUSTOM SCENARIO BUILDER</t>
  </si>
  <si>
    <t>Build Your Own Scenario</t>
  </si>
  <si>
    <t>gpt-4o-mini (select from dropdown)</t>
  </si>
  <si>
    <t>embedding-3-small (select from dropdown)</t>
  </si>
  <si>
    <t>Prompt Caching</t>
  </si>
  <si>
    <t>YES (select YES/NO)</t>
  </si>
  <si>
    <t>Chunk Limiting</t>
  </si>
  <si>
    <t>Max Chunks</t>
  </si>
  <si>
    <t>20 (if limiting enabled, else 0)</t>
  </si>
  <si>
    <t>Calculated Monthly Cost</t>
  </si>
  <si>
    <t>$387.81 (formula: =calculate_from_above)</t>
  </si>
  <si>
    <t>Calculated Annual Cost</t>
  </si>
  <si>
    <t>$4,653.72 (formula: =monthly*12)</t>
  </si>
  <si>
    <t>SCENARIO RANKING BY COST</t>
  </si>
  <si>
    <t>Rank</t>
  </si>
  <si>
    <t>Scenario</t>
  </si>
  <si>
    <t>1</t>
  </si>
  <si>
    <t>Scenario A (Low Volume)</t>
  </si>
  <si>
    <t>Scenario B (Medium Volume) / E (Cost Optimized)</t>
  </si>
  <si>
    <t>Scenario C (High Volume)</t>
  </si>
  <si>
    <t>Scenario D (Premium Quality)</t>
  </si>
  <si>
    <t>SCENARIO RANKING BY VALUE (Cost per Quality Point)</t>
  </si>
  <si>
    <t>Cost per Doc</t>
  </si>
  <si>
    <t>Value Rating</t>
  </si>
  <si>
    <t>Scenario B (Medium Volume)</t>
  </si>
  <si>
    <t>3.0 / 5</t>
  </si>
  <si>
    <t>Best Value ✅</t>
  </si>
  <si>
    <t>Scenario E (Cost Optimized)</t>
  </si>
  <si>
    <t>Good</t>
  </si>
  <si>
    <t>5</t>
  </si>
  <si>
    <t>5.0 / 5</t>
  </si>
  <si>
    <t>Premium, worth it for critical use</t>
  </si>
  <si>
    <t>KEY INSIGHTS</t>
  </si>
  <si>
    <t>1. Embedding costs dominate (66-70% of total), even with cheapest model</t>
  </si>
  <si>
    <t>2. Switching to premium embedding (ada-002) increases cost 4-5x, but provides 100% multilingual support</t>
  </si>
  <si>
    <t>3. LLM processing is surprisingly cheap (1-10%) due to prompt caching effectiveness</t>
  </si>
  <si>
    <t>4. Cost per document scales linearly with volume (stays constant at $0.52)</t>
  </si>
  <si>
    <t>5. Premium LLM (claude-sonnet) adds significant cost but marginal quality improvement for entity extraction</t>
  </si>
  <si>
    <t>HISTORICAL VALIDATION - Actual vs Estimated Costs</t>
  </si>
  <si>
    <t>Track accuracy of cost estimates over time</t>
  </si>
  <si>
    <t>DATA SOURCES FOR ACTUAL COSTS</t>
  </si>
  <si>
    <t>Source</t>
  </si>
  <si>
    <t>Access Method</t>
  </si>
  <si>
    <t>URL/Command</t>
  </si>
  <si>
    <t>What It Provides</t>
  </si>
  <si>
    <t>Cost Analytics API</t>
  </si>
  <si>
    <t>HTTP GET</t>
  </si>
  <si>
    <t>http://localhost:8090/api/costs/summary?days=30</t>
  </si>
  <si>
    <t>LLM and embedding costs via APISIX</t>
  </si>
  <si>
    <t>TimescaleDB</t>
  </si>
  <si>
    <t>SQL Query</t>
  </si>
  <si>
    <t>SELECT sum(total_cost_usd) FROM llm_requests WHERE ...</t>
  </si>
  <si>
    <t>Raw cost data</t>
  </si>
  <si>
    <t>Grafana Dashboard</t>
  </si>
  <si>
    <t>Web UI</t>
  </si>
  <si>
    <t>http://localhost:3002/dashboards</t>
  </si>
  <si>
    <t>Visual cost trends</t>
  </si>
  <si>
    <t>SDK Cost Tracker</t>
  </si>
  <si>
    <t>API endpoint</t>
  </si>
  <si>
    <t>http://localhost:8090/api/ingest/costs</t>
  </si>
  <si>
    <t>Claude Agent SDK costs</t>
  </si>
  <si>
    <t>MONTHLY COST TRACKING</t>
  </si>
  <si>
    <t>Variance ($)</t>
  </si>
  <si>
    <t>Variance (%)</t>
  </si>
  <si>
    <t>Actual Docs</t>
  </si>
  <si>
    <t>Estimated Docs</t>
  </si>
  <si>
    <t>Cost per Doc (Actual)</t>
  </si>
  <si>
    <t>Cost per Doc (Estimated)</t>
  </si>
  <si>
    <t>January 2025</t>
  </si>
  <si>
    <t>0</t>
  </si>
  <si>
    <t>Forecast - No data yet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</si>
  <si>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</si>
  <si>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</si>
  <si>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</si>
  <si>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</si>
  <si>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</si>
  <si>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</si>
  <si>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</si>
  <si>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</si>
  <si>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</si>
  <si>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</si>
  <si>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</si>
  <si>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SUMMARY STATISTICS</t>
  </si>
  <si>
    <t>Total Estimated (YTD)</t>
  </si>
  <si>
    <t>Total Actual (YTD)</t>
  </si>
  <si>
    <t>Total Variance</t>
  </si>
  <si>
    <t>-$258.54</t>
  </si>
  <si>
    <t>Average Variance %</t>
  </si>
  <si>
    <t>Accuracy Rate</t>
  </si>
  <si>
    <t>COST BREAKDOWN VALIDATION</t>
  </si>
  <si>
    <t>Estimated Monthly</t>
  </si>
  <si>
    <t>Actual Monthly</t>
  </si>
  <si>
    <t>Data Source</t>
  </si>
  <si>
    <t>Manual tracking (Exa.ai/Apify invoices)</t>
  </si>
  <si>
    <t>Cost Analytics API (agent_type filter)</t>
  </si>
  <si>
    <t>Cost Analytics API (embedding model filter)</t>
  </si>
  <si>
    <t>Calculated from error rates</t>
  </si>
  <si>
    <t>Sum of components</t>
  </si>
  <si>
    <t>WEEKLY TRACKING (Most Recent 12 Weeks)</t>
  </si>
  <si>
    <t>Week Ending</t>
  </si>
  <si>
    <t>Documents Processed</t>
  </si>
  <si>
    <t>$64.64</t>
  </si>
  <si>
    <t>No data yet</t>
  </si>
  <si>
    <t>[DATE + 7d]</t>
  </si>
  <si>
    <t>[DATE + 14d]</t>
  </si>
  <si>
    <t>[DATE + 21d]</t>
  </si>
  <si>
    <t>[DATE + 28d]</t>
  </si>
  <si>
    <t>[DATE + 35d]</t>
  </si>
  <si>
    <t>[DATE + 42d]</t>
  </si>
  <si>
    <t>[DATE + 49d]</t>
  </si>
  <si>
    <t>[DATE + 56d]</t>
  </si>
  <si>
    <t>[DATE + 63d]</t>
  </si>
  <si>
    <t>[DATE + 70d]</t>
  </si>
  <si>
    <t>[DATE + 77d]</t>
  </si>
  <si>
    <t>HOW TO POPULATE ACTUAL COSTS</t>
  </si>
  <si>
    <t>Step</t>
  </si>
  <si>
    <t>Command/Action</t>
  </si>
  <si>
    <t>1. Get LLM costs</t>
  </si>
  <si>
    <t>curl http://localhost:8090/api/costs/summary?days=30</t>
  </si>
  <si>
    <t>Returns total_cost_usd for LLM calls</t>
  </si>
  <si>
    <t>2. Get embedding costs</t>
  </si>
  <si>
    <t>curl http://localhost:8090/api/costs/by-model | grep 'embedding'</t>
  </si>
  <si>
    <t>Filter for embedding models</t>
  </si>
  <si>
    <t>3. Get document count</t>
  </si>
  <si>
    <t>Query Neo4j: MATCH (ep:Episodic) WHERE ep.created_at &gt; date(...) RETURN count(ep)</t>
  </si>
  <si>
    <t>Count episodes created in period</t>
  </si>
  <si>
    <t>4. Get ETL costs</t>
  </si>
  <si>
    <t>Check Exa.ai and Apify invoices/dashboards</t>
  </si>
  <si>
    <t>Manual data entry required</t>
  </si>
  <si>
    <t>5. Calculate overhead</t>
  </si>
  <si>
    <t>Compare total spend vs (LLM + embedding + ETL)</t>
  </si>
  <si>
    <t>Difference is overhead/retry costs</t>
  </si>
  <si>
    <t>6. Enter actual data</t>
  </si>
  <si>
    <t>Update Actual Cost column in table above</t>
  </si>
  <si>
    <t>Use formulas to calculate variances automatically</t>
  </si>
  <si>
    <t>VARIANCE ANALYSIS</t>
  </si>
  <si>
    <t>Common Reasons for Variance</t>
  </si>
  <si>
    <t>Typical Impact</t>
  </si>
  <si>
    <t>How to Detect</t>
  </si>
  <si>
    <t>Mitigation</t>
  </si>
  <si>
    <t>Documents longer than expected</t>
  </si>
  <si>
    <t>+20-50%</t>
  </si>
  <si>
    <t>Actual docs &gt; estimated docs for same cost</t>
  </si>
  <si>
    <t>Update avg doc length parameter</t>
  </si>
  <si>
    <t>Lower cache hit rate</t>
  </si>
  <si>
    <t>+50-100%</t>
  </si>
  <si>
    <t>LLM costs much higher than expected</t>
  </si>
  <si>
    <t>Check cache statistics in APISIX logs</t>
  </si>
  <si>
    <t>More chunks per document</t>
  </si>
  <si>
    <t>+30-80%</t>
  </si>
  <si>
    <t>Processing costs higher</t>
  </si>
  <si>
    <t>Review chunk limiting effectiveness</t>
  </si>
  <si>
    <t>Different model used</t>
  </si>
  <si>
    <t>+10-1000%</t>
  </si>
  <si>
    <t>Cost per token different</t>
  </si>
  <si>
    <t>Verify model selection in config</t>
  </si>
  <si>
    <t>ETL cost changes</t>
  </si>
  <si>
    <t>+/- 50%</t>
  </si>
  <si>
    <t>ETL costs vary</t>
  </si>
  <si>
    <t>Update Exa.ai/Apify pricing</t>
  </si>
  <si>
    <t>Processing errors/retries</t>
  </si>
  <si>
    <t>+10-30%</t>
  </si>
  <si>
    <t>Overhead &gt; 15%</t>
  </si>
  <si>
    <t>Check error logs and failure rates</t>
  </si>
  <si>
    <t>ACCURACY IMPROVEMENT ACTIONS</t>
  </si>
  <si>
    <t>If Variance &gt; 20%</t>
  </si>
  <si>
    <t>Action</t>
  </si>
  <si>
    <t>Priority</t>
  </si>
  <si>
    <t>Estimated too low</t>
  </si>
  <si>
    <t>Review input parameters; increase doc length or chunks</t>
  </si>
  <si>
    <t>High</t>
  </si>
  <si>
    <t>Estimated too high</t>
  </si>
  <si>
    <t>Check if chunk limiting is working as expected</t>
  </si>
  <si>
    <t>Medium</t>
  </si>
  <si>
    <t>Consistent under-estimation</t>
  </si>
  <si>
    <t>Increase overhead buffer from 15% to 20-25%</t>
  </si>
  <si>
    <t>Consistent over-estimation</t>
  </si>
  <si>
    <t>Optimize caching or reduce buffer</t>
  </si>
  <si>
    <t>Low</t>
  </si>
  <si>
    <t>Variance fluctuates</t>
  </si>
  <si>
    <t>More granular weekly tracking needed</t>
  </si>
  <si>
    <t>COST CONTROL ALERTS</t>
  </si>
  <si>
    <t>Alert Condition</t>
  </si>
  <si>
    <t>Current Value</t>
  </si>
  <si>
    <t>Action Required</t>
  </si>
  <si>
    <t>Monthly cost exceeds estimate</t>
  </si>
  <si>
    <t>&gt; 120%</t>
  </si>
  <si>
    <t>🟢 OK</t>
  </si>
  <si>
    <t>None</t>
  </si>
  <si>
    <t>Cost per document too high</t>
  </si>
  <si>
    <t>&gt; $0.75</t>
  </si>
  <si>
    <t>LLM costs spike</t>
  </si>
  <si>
    <t>&gt; $5/month</t>
  </si>
  <si>
    <t>Embedding costs spike</t>
  </si>
  <si>
    <t>&gt; $250/month</t>
  </si>
  <si>
    <t>Total variance</t>
  </si>
  <si>
    <t>&gt; 25%</t>
  </si>
  <si>
    <t>Conservative estimate, adjust based on actual
Avg toekns News - 2500
Avg Tokens Policy - 3750 (Some files are too big ~ 30k+ toks)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</si>
</sst>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Cost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Dashboard!$A$20:$A$23</c:f>
              <c:strCache>
                <c:ptCount val="3"/>
                <c:pt idx="0">
                  <c:v>LLM Processing (Entity Extraction)</c:v>
                </c:pt>
                <c:pt idx="1">
                  <c:v>Embedding Generation</c:v>
                </c:pt>
                <c:pt idx="2">
                  <c:v>Total</c:v>
                </c:pt>
              </c:strCache>
            </c:strRef>
          </c:cat>
          <c:val>
            <c:numRef>
              <c:f>Dashboard!$B$20:$B$23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0-4C4A-BCDA-229A11AC7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120" zoomScaleNormal="120" workbookViewId="0">
      <selection activeCell="B8" sqref="B8"/>
    </sheetView>
  </sheetViews>
  <sheetFormatPr baseColWidth="10" defaultColWidth="8.83203125" defaultRowHeight="15" x14ac:dyDescent="0.2"/>
  <cols>
    <col min="1" max="1" width="50" customWidth="1"/>
    <col min="2" max="3" width="16" customWidth="1"/>
    <col min="4" max="4" width="24" customWidth="1"/>
    <col min="5" max="5" width="10" customWidth="1"/>
    <col min="6" max="6" width="8" customWidth="1"/>
    <col min="7" max="7" width="6" customWidth="1"/>
  </cols>
  <sheetData>
    <row r="1" spans="1:6" ht="21" x14ac:dyDescent="0.25">
      <c r="A1" s="1" t="s">
        <v>0</v>
      </c>
    </row>
    <row r="2" spans="1:6" x14ac:dyDescent="0.2">
      <c r="A2" t="s">
        <v>1</v>
      </c>
    </row>
    <row r="4" spans="1:6" ht="19" x14ac:dyDescent="0.25">
      <c r="A4" s="2" t="s">
        <v>2</v>
      </c>
    </row>
    <row r="5" spans="1:6" x14ac:dyDescent="0.2">
      <c r="A5" t="s">
        <v>3</v>
      </c>
      <c r="B5" t="s">
        <v>4</v>
      </c>
      <c r="C5" t="s">
        <v>5</v>
      </c>
      <c r="D5" t="s">
        <v>6</v>
      </c>
    </row>
    <row r="6" spans="1:6" x14ac:dyDescent="0.2">
      <c r="A6" t="s">
        <v>7</v>
      </c>
      <c r="B6">
        <f>'Input Parameters'!B6</f>
        <v>500</v>
      </c>
      <c r="C6" t="s">
        <v>9</v>
      </c>
      <c r="D6" t="str">
        <f>'Input Parameters'!B5</f>
        <v>Value</v>
      </c>
    </row>
    <row r="7" spans="1:6" x14ac:dyDescent="0.2">
      <c r="A7" t="s">
        <v>10</v>
      </c>
      <c r="B7">
        <f>'Cost Calculator'!B79</f>
        <v>258.54000000000002</v>
      </c>
      <c r="C7" t="s">
        <v>12</v>
      </c>
      <c r="D7" t="str">
        <f>'Cost Calculator'!B30</f>
        <v>Calculation</v>
      </c>
    </row>
    <row r="8" spans="1:6" x14ac:dyDescent="0.2">
      <c r="A8" t="s">
        <v>13</v>
      </c>
      <c r="B8">
        <f>B6/B7</f>
        <v>1.9339367215904695</v>
      </c>
      <c r="C8" t="s">
        <v>12</v>
      </c>
      <c r="D8" t="e">
        <f>B6/B5</f>
        <v>#VALUE!</v>
      </c>
    </row>
    <row r="10" spans="1:6" ht="19" x14ac:dyDescent="0.25">
      <c r="A10" s="2" t="s">
        <v>15</v>
      </c>
    </row>
    <row r="11" spans="1:6" x14ac:dyDescent="0.2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">
      <c r="A12" t="s">
        <v>22</v>
      </c>
      <c r="B12" t="s">
        <v>11</v>
      </c>
      <c r="C12" t="s">
        <v>23</v>
      </c>
      <c r="D12" t="s">
        <v>24</v>
      </c>
      <c r="E12" t="s">
        <v>25</v>
      </c>
      <c r="F12" t="s">
        <v>26</v>
      </c>
    </row>
    <row r="13" spans="1:6" x14ac:dyDescent="0.2">
      <c r="A13" t="s">
        <v>27</v>
      </c>
      <c r="B13" t="s">
        <v>8</v>
      </c>
      <c r="C13" t="s">
        <v>28</v>
      </c>
      <c r="D13" t="s">
        <v>29</v>
      </c>
      <c r="E13" t="s">
        <v>30</v>
      </c>
      <c r="F13" t="s">
        <v>31</v>
      </c>
    </row>
    <row r="14" spans="1:6" x14ac:dyDescent="0.2">
      <c r="A14" t="s">
        <v>13</v>
      </c>
      <c r="B14" t="s">
        <v>14</v>
      </c>
      <c r="C14" t="s">
        <v>14</v>
      </c>
      <c r="D14" t="s">
        <v>32</v>
      </c>
      <c r="E14" t="s">
        <v>33</v>
      </c>
      <c r="F14" t="s">
        <v>31</v>
      </c>
    </row>
    <row r="15" spans="1:6" x14ac:dyDescent="0.2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31</v>
      </c>
    </row>
    <row r="17" spans="1:5" ht="19" x14ac:dyDescent="0.25">
      <c r="A17" s="2" t="s">
        <v>39</v>
      </c>
    </row>
    <row r="18" spans="1:5" x14ac:dyDescent="0.2">
      <c r="A18" t="s">
        <v>40</v>
      </c>
      <c r="B18" t="s">
        <v>41</v>
      </c>
      <c r="C18" t="s">
        <v>42</v>
      </c>
      <c r="D18" t="s">
        <v>43</v>
      </c>
    </row>
    <row r="19" spans="1:5" x14ac:dyDescent="0.2">
      <c r="A19" t="s">
        <v>44</v>
      </c>
      <c r="B19" t="s">
        <v>45</v>
      </c>
      <c r="C19" t="s">
        <v>46</v>
      </c>
      <c r="D19" t="s">
        <v>47</v>
      </c>
    </row>
    <row r="20" spans="1:5" x14ac:dyDescent="0.2">
      <c r="A20" t="s">
        <v>48</v>
      </c>
      <c r="B20" t="s">
        <v>49</v>
      </c>
      <c r="C20" t="s">
        <v>50</v>
      </c>
      <c r="D20" t="s">
        <v>51</v>
      </c>
    </row>
    <row r="21" spans="1:5" x14ac:dyDescent="0.2">
      <c r="A21" t="s">
        <v>52</v>
      </c>
      <c r="B21" t="s">
        <v>45</v>
      </c>
      <c r="C21" t="s">
        <v>46</v>
      </c>
      <c r="D21" t="s">
        <v>47</v>
      </c>
    </row>
    <row r="22" spans="1:5" x14ac:dyDescent="0.2">
      <c r="A22" t="s">
        <v>53</v>
      </c>
      <c r="B22" t="s">
        <v>11</v>
      </c>
      <c r="C22" t="s">
        <v>54</v>
      </c>
      <c r="D22" t="s">
        <v>55</v>
      </c>
    </row>
    <row r="24" spans="1:5" ht="19" x14ac:dyDescent="0.25">
      <c r="A24" s="2" t="s">
        <v>56</v>
      </c>
    </row>
    <row r="25" spans="1:5" x14ac:dyDescent="0.2">
      <c r="A25" t="s">
        <v>57</v>
      </c>
      <c r="B25" t="s">
        <v>58</v>
      </c>
      <c r="C25" t="s">
        <v>59</v>
      </c>
      <c r="D25" t="s">
        <v>60</v>
      </c>
      <c r="E25" t="s">
        <v>61</v>
      </c>
    </row>
    <row r="26" spans="1:5" x14ac:dyDescent="0.2">
      <c r="A26" t="s">
        <v>62</v>
      </c>
      <c r="B26" t="s">
        <v>11</v>
      </c>
      <c r="C26" t="s">
        <v>32</v>
      </c>
      <c r="D26" t="s">
        <v>32</v>
      </c>
      <c r="E26" t="s">
        <v>63</v>
      </c>
    </row>
    <row r="27" spans="1:5" x14ac:dyDescent="0.2">
      <c r="A27" t="s">
        <v>64</v>
      </c>
      <c r="B27" t="s">
        <v>11</v>
      </c>
      <c r="C27" t="s">
        <v>32</v>
      </c>
      <c r="D27" t="s">
        <v>32</v>
      </c>
      <c r="E27" t="s">
        <v>63</v>
      </c>
    </row>
    <row r="28" spans="1:5" x14ac:dyDescent="0.2">
      <c r="A28" t="s">
        <v>65</v>
      </c>
      <c r="B28" t="s">
        <v>11</v>
      </c>
      <c r="C28" t="s">
        <v>32</v>
      </c>
      <c r="D28" t="s">
        <v>32</v>
      </c>
      <c r="E28" t="s">
        <v>63</v>
      </c>
    </row>
    <row r="29" spans="1:5" x14ac:dyDescent="0.2">
      <c r="A29" t="s">
        <v>66</v>
      </c>
      <c r="B29" t="s">
        <v>11</v>
      </c>
      <c r="C29" t="s">
        <v>32</v>
      </c>
      <c r="D29" t="s">
        <v>32</v>
      </c>
      <c r="E29" t="s">
        <v>63</v>
      </c>
    </row>
    <row r="30" spans="1:5" x14ac:dyDescent="0.2">
      <c r="A30" t="s">
        <v>67</v>
      </c>
      <c r="B30" t="s">
        <v>11</v>
      </c>
      <c r="C30" t="s">
        <v>32</v>
      </c>
      <c r="D30" t="s">
        <v>32</v>
      </c>
      <c r="E30" t="s">
        <v>63</v>
      </c>
    </row>
    <row r="31" spans="1:5" x14ac:dyDescent="0.2">
      <c r="A31" t="s">
        <v>68</v>
      </c>
      <c r="B31" t="s">
        <v>11</v>
      </c>
      <c r="C31" t="s">
        <v>32</v>
      </c>
      <c r="D31" t="s">
        <v>32</v>
      </c>
      <c r="E31" t="s">
        <v>63</v>
      </c>
    </row>
    <row r="32" spans="1:5" x14ac:dyDescent="0.2">
      <c r="A32" t="s">
        <v>69</v>
      </c>
      <c r="B32" t="s">
        <v>11</v>
      </c>
      <c r="C32" t="s">
        <v>32</v>
      </c>
      <c r="D32" t="s">
        <v>32</v>
      </c>
      <c r="E32" t="s">
        <v>63</v>
      </c>
    </row>
    <row r="33" spans="1:5" x14ac:dyDescent="0.2">
      <c r="A33" t="s">
        <v>70</v>
      </c>
      <c r="B33" t="s">
        <v>11</v>
      </c>
      <c r="C33" t="s">
        <v>32</v>
      </c>
      <c r="D33" t="s">
        <v>32</v>
      </c>
      <c r="E33" t="s">
        <v>63</v>
      </c>
    </row>
    <row r="34" spans="1:5" x14ac:dyDescent="0.2">
      <c r="A34" t="s">
        <v>71</v>
      </c>
      <c r="B34" t="s">
        <v>11</v>
      </c>
      <c r="C34" t="s">
        <v>32</v>
      </c>
      <c r="D34" t="s">
        <v>32</v>
      </c>
      <c r="E34" t="s">
        <v>63</v>
      </c>
    </row>
    <row r="35" spans="1:5" x14ac:dyDescent="0.2">
      <c r="A35" t="s">
        <v>72</v>
      </c>
      <c r="B35" t="s">
        <v>11</v>
      </c>
      <c r="C35" t="s">
        <v>32</v>
      </c>
      <c r="D35" t="s">
        <v>32</v>
      </c>
      <c r="E35" t="s">
        <v>63</v>
      </c>
    </row>
    <row r="36" spans="1:5" x14ac:dyDescent="0.2">
      <c r="A36" t="s">
        <v>73</v>
      </c>
      <c r="B36" t="s">
        <v>11</v>
      </c>
      <c r="C36" t="s">
        <v>32</v>
      </c>
      <c r="D36" t="s">
        <v>32</v>
      </c>
      <c r="E36" t="s">
        <v>63</v>
      </c>
    </row>
    <row r="37" spans="1:5" x14ac:dyDescent="0.2">
      <c r="A37" t="s">
        <v>74</v>
      </c>
      <c r="B37" t="s">
        <v>11</v>
      </c>
      <c r="C37" t="s">
        <v>32</v>
      </c>
      <c r="D37" t="s">
        <v>32</v>
      </c>
      <c r="E37" t="s">
        <v>63</v>
      </c>
    </row>
    <row r="38" spans="1:5" x14ac:dyDescent="0.2">
      <c r="A38" t="s">
        <v>75</v>
      </c>
      <c r="B38" t="s">
        <v>55</v>
      </c>
      <c r="C38" t="s">
        <v>32</v>
      </c>
      <c r="D38" t="s">
        <v>32</v>
      </c>
    </row>
    <row r="40" spans="1:5" ht="19" x14ac:dyDescent="0.25">
      <c r="A40" s="2" t="s">
        <v>76</v>
      </c>
    </row>
    <row r="41" spans="1:5" x14ac:dyDescent="0.2">
      <c r="A41" t="s">
        <v>16</v>
      </c>
      <c r="B41" t="s">
        <v>77</v>
      </c>
      <c r="C41" t="s">
        <v>78</v>
      </c>
      <c r="D41" t="s">
        <v>21</v>
      </c>
    </row>
    <row r="42" spans="1:5" x14ac:dyDescent="0.2">
      <c r="A42" t="s">
        <v>79</v>
      </c>
      <c r="B42" t="s">
        <v>80</v>
      </c>
      <c r="C42" t="s">
        <v>11</v>
      </c>
      <c r="D42" t="s">
        <v>81</v>
      </c>
    </row>
    <row r="43" spans="1:5" x14ac:dyDescent="0.2">
      <c r="A43" t="s">
        <v>13</v>
      </c>
      <c r="B43" t="s">
        <v>82</v>
      </c>
      <c r="C43" t="s">
        <v>14</v>
      </c>
      <c r="D43" t="s">
        <v>83</v>
      </c>
    </row>
    <row r="44" spans="1:5" x14ac:dyDescent="0.2">
      <c r="A44" t="s">
        <v>84</v>
      </c>
      <c r="B44" t="s">
        <v>85</v>
      </c>
      <c r="C44" t="s">
        <v>86</v>
      </c>
      <c r="D44" t="s">
        <v>87</v>
      </c>
    </row>
    <row r="45" spans="1:5" x14ac:dyDescent="0.2">
      <c r="A45" t="s">
        <v>88</v>
      </c>
      <c r="B45" t="s">
        <v>89</v>
      </c>
      <c r="C45" t="s">
        <v>90</v>
      </c>
      <c r="D45" t="s">
        <v>91</v>
      </c>
    </row>
    <row r="47" spans="1:5" ht="19" x14ac:dyDescent="0.25">
      <c r="A47" s="2" t="s">
        <v>92</v>
      </c>
    </row>
    <row r="48" spans="1:5" x14ac:dyDescent="0.2">
      <c r="A48" t="s">
        <v>93</v>
      </c>
    </row>
    <row r="49" spans="1:1" x14ac:dyDescent="0.2">
      <c r="A49" t="s">
        <v>94</v>
      </c>
    </row>
    <row r="50" spans="1:1" x14ac:dyDescent="0.2">
      <c r="A50" t="s">
        <v>95</v>
      </c>
    </row>
    <row r="51" spans="1:1" x14ac:dyDescent="0.2">
      <c r="A51" t="s">
        <v>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abSelected="1" topLeftCell="A32" zoomScale="120" zoomScaleNormal="120" workbookViewId="0">
      <selection activeCell="B51" sqref="B51"/>
    </sheetView>
  </sheetViews>
  <sheetFormatPr baseColWidth="10" defaultColWidth="8.83203125" defaultRowHeight="15" x14ac:dyDescent="0.2"/>
  <cols>
    <col min="1" max="1" width="56" bestFit="1" customWidth="1"/>
    <col min="2" max="2" width="13.1640625" customWidth="1"/>
    <col min="3" max="3" width="50" customWidth="1"/>
    <col min="4" max="4" width="47" customWidth="1"/>
    <col min="5" max="5" width="6" customWidth="1"/>
  </cols>
  <sheetData>
    <row r="1" spans="1:4" x14ac:dyDescent="0.2">
      <c r="A1" t="s">
        <v>97</v>
      </c>
    </row>
    <row r="2" spans="1:4" x14ac:dyDescent="0.2">
      <c r="A2" t="s">
        <v>98</v>
      </c>
    </row>
    <row r="4" spans="1:4" x14ac:dyDescent="0.2">
      <c r="A4" t="s">
        <v>99</v>
      </c>
    </row>
    <row r="5" spans="1:4" x14ac:dyDescent="0.2">
      <c r="A5" t="s">
        <v>100</v>
      </c>
      <c r="B5" t="s">
        <v>4</v>
      </c>
      <c r="C5" t="s">
        <v>5</v>
      </c>
      <c r="D5" t="s">
        <v>61</v>
      </c>
    </row>
    <row r="6" spans="1:4" x14ac:dyDescent="0.2">
      <c r="A6" t="s">
        <v>101</v>
      </c>
      <c r="B6" s="3">
        <v>500</v>
      </c>
      <c r="C6" t="s">
        <v>9</v>
      </c>
      <c r="D6" t="s">
        <v>102</v>
      </c>
    </row>
    <row r="7" spans="1:4" x14ac:dyDescent="0.2">
      <c r="A7" t="s">
        <v>103</v>
      </c>
      <c r="B7" s="3">
        <v>200</v>
      </c>
      <c r="C7" t="s">
        <v>9</v>
      </c>
      <c r="D7" t="s">
        <v>104</v>
      </c>
    </row>
    <row r="8" spans="1:4" x14ac:dyDescent="0.2">
      <c r="A8" t="s">
        <v>105</v>
      </c>
      <c r="B8" s="3">
        <v>300</v>
      </c>
      <c r="C8" t="s">
        <v>9</v>
      </c>
      <c r="D8" t="s">
        <v>106</v>
      </c>
    </row>
    <row r="9" spans="1:4" ht="48" x14ac:dyDescent="0.2">
      <c r="A9" t="s">
        <v>107</v>
      </c>
      <c r="B9" s="3">
        <v>5000</v>
      </c>
      <c r="C9" t="s">
        <v>109</v>
      </c>
      <c r="D9" s="4" t="s">
        <v>822</v>
      </c>
    </row>
    <row r="10" spans="1:4" x14ac:dyDescent="0.2">
      <c r="A10" t="s">
        <v>110</v>
      </c>
      <c r="B10" s="3">
        <v>100</v>
      </c>
      <c r="C10" t="s">
        <v>20</v>
      </c>
      <c r="D10" t="s">
        <v>112</v>
      </c>
    </row>
    <row r="12" spans="1:4" x14ac:dyDescent="0.2">
      <c r="A12" t="s">
        <v>113</v>
      </c>
    </row>
    <row r="13" spans="1:4" x14ac:dyDescent="0.2">
      <c r="A13" t="s">
        <v>100</v>
      </c>
      <c r="B13" t="s">
        <v>4</v>
      </c>
      <c r="C13" t="s">
        <v>5</v>
      </c>
      <c r="D13" t="s">
        <v>61</v>
      </c>
    </row>
    <row r="14" spans="1:4" x14ac:dyDescent="0.2">
      <c r="A14" t="s">
        <v>114</v>
      </c>
      <c r="B14" s="3">
        <v>1500</v>
      </c>
      <c r="C14" t="s">
        <v>109</v>
      </c>
      <c r="D14" t="s">
        <v>116</v>
      </c>
    </row>
    <row r="15" spans="1:4" x14ac:dyDescent="0.2">
      <c r="A15" t="s">
        <v>117</v>
      </c>
      <c r="B15">
        <v>3000</v>
      </c>
      <c r="C15" t="s">
        <v>109</v>
      </c>
      <c r="D15" t="s">
        <v>118</v>
      </c>
    </row>
    <row r="16" spans="1:4" x14ac:dyDescent="0.2">
      <c r="A16" t="s">
        <v>119</v>
      </c>
      <c r="B16" s="3">
        <v>10</v>
      </c>
      <c r="C16" t="s">
        <v>20</v>
      </c>
      <c r="D16" t="s">
        <v>121</v>
      </c>
    </row>
    <row r="17" spans="1:4" x14ac:dyDescent="0.2">
      <c r="A17" t="s">
        <v>122</v>
      </c>
      <c r="B17" s="3">
        <v>10</v>
      </c>
      <c r="C17" t="s">
        <v>124</v>
      </c>
      <c r="D17" t="s">
        <v>125</v>
      </c>
    </row>
    <row r="18" spans="1:4" x14ac:dyDescent="0.2">
      <c r="A18" t="s">
        <v>126</v>
      </c>
      <c r="B18" s="3"/>
      <c r="C18" t="s">
        <v>124</v>
      </c>
      <c r="D18" t="s">
        <v>127</v>
      </c>
    </row>
    <row r="19" spans="1:4" x14ac:dyDescent="0.2">
      <c r="B19">
        <f>CEILING(B9/B14,1)</f>
        <v>4</v>
      </c>
    </row>
    <row r="20" spans="1:4" x14ac:dyDescent="0.2">
      <c r="A20" t="s">
        <v>128</v>
      </c>
    </row>
    <row r="21" spans="1:4" x14ac:dyDescent="0.2">
      <c r="A21" t="s">
        <v>100</v>
      </c>
      <c r="B21" t="s">
        <v>4</v>
      </c>
      <c r="C21" t="s">
        <v>129</v>
      </c>
      <c r="D21" t="s">
        <v>61</v>
      </c>
    </row>
    <row r="22" spans="1:4" x14ac:dyDescent="0.2">
      <c r="A22" t="s">
        <v>130</v>
      </c>
      <c r="B22" t="s">
        <v>131</v>
      </c>
      <c r="C22" t="s">
        <v>132</v>
      </c>
      <c r="D22" t="s">
        <v>133</v>
      </c>
    </row>
    <row r="23" spans="1:4" x14ac:dyDescent="0.2">
      <c r="A23" t="s">
        <v>134</v>
      </c>
      <c r="B23" t="s">
        <v>274</v>
      </c>
      <c r="C23" t="s">
        <v>136</v>
      </c>
      <c r="D23" t="s">
        <v>137</v>
      </c>
    </row>
    <row r="24" spans="1:4" x14ac:dyDescent="0.2">
      <c r="A24" t="s">
        <v>138</v>
      </c>
      <c r="B24" t="s">
        <v>139</v>
      </c>
      <c r="C24" t="s">
        <v>140</v>
      </c>
      <c r="D24" t="s">
        <v>141</v>
      </c>
    </row>
    <row r="25" spans="1:4" x14ac:dyDescent="0.2">
      <c r="A25" t="s">
        <v>142</v>
      </c>
      <c r="B25" s="5">
        <v>0.85</v>
      </c>
      <c r="C25" t="s">
        <v>20</v>
      </c>
      <c r="D25" t="s">
        <v>143</v>
      </c>
    </row>
    <row r="27" spans="1:4" x14ac:dyDescent="0.2">
      <c r="A27" t="s">
        <v>144</v>
      </c>
    </row>
    <row r="28" spans="1:4" x14ac:dyDescent="0.2">
      <c r="A28" t="s">
        <v>100</v>
      </c>
      <c r="B28" t="s">
        <v>4</v>
      </c>
      <c r="C28" t="s">
        <v>5</v>
      </c>
      <c r="D28" t="s">
        <v>61</v>
      </c>
    </row>
    <row r="29" spans="1:4" x14ac:dyDescent="0.2">
      <c r="A29" t="s">
        <v>145</v>
      </c>
      <c r="B29" s="3">
        <v>100</v>
      </c>
      <c r="C29" t="s">
        <v>9</v>
      </c>
      <c r="D29" t="s">
        <v>146</v>
      </c>
    </row>
    <row r="30" spans="1:4" x14ac:dyDescent="0.2">
      <c r="A30" t="s">
        <v>147</v>
      </c>
      <c r="B30" s="3">
        <v>4</v>
      </c>
      <c r="C30" t="s">
        <v>149</v>
      </c>
      <c r="D30" t="s">
        <v>150</v>
      </c>
    </row>
    <row r="31" spans="1:4" x14ac:dyDescent="0.2">
      <c r="A31" t="s">
        <v>151</v>
      </c>
      <c r="B31" t="s">
        <v>139</v>
      </c>
      <c r="C31" t="s">
        <v>140</v>
      </c>
      <c r="D31" t="s">
        <v>152</v>
      </c>
    </row>
    <row r="32" spans="1:4" x14ac:dyDescent="0.2">
      <c r="A32" t="s">
        <v>153</v>
      </c>
      <c r="B32" s="3">
        <v>15</v>
      </c>
      <c r="C32" t="s">
        <v>20</v>
      </c>
      <c r="D32" t="s">
        <v>155</v>
      </c>
    </row>
    <row r="34" spans="1:4" x14ac:dyDescent="0.2">
      <c r="A34" t="s">
        <v>156</v>
      </c>
    </row>
    <row r="35" spans="1:4" x14ac:dyDescent="0.2">
      <c r="A35" t="s">
        <v>100</v>
      </c>
      <c r="B35" t="s">
        <v>4</v>
      </c>
      <c r="C35" t="s">
        <v>5</v>
      </c>
      <c r="D35" t="s">
        <v>61</v>
      </c>
    </row>
    <row r="36" spans="1:4" x14ac:dyDescent="0.2">
      <c r="A36" t="s">
        <v>157</v>
      </c>
      <c r="B36" s="3">
        <v>2</v>
      </c>
      <c r="C36" t="s">
        <v>159</v>
      </c>
      <c r="D36" t="s">
        <v>160</v>
      </c>
    </row>
    <row r="37" spans="1:4" x14ac:dyDescent="0.2">
      <c r="A37" t="s">
        <v>161</v>
      </c>
      <c r="B37" s="3">
        <v>10</v>
      </c>
      <c r="C37" t="s">
        <v>9</v>
      </c>
      <c r="D37" t="s">
        <v>162</v>
      </c>
    </row>
    <row r="38" spans="1:4" x14ac:dyDescent="0.2">
      <c r="A38" t="s">
        <v>163</v>
      </c>
      <c r="B38" s="3">
        <v>10</v>
      </c>
      <c r="C38" t="s">
        <v>164</v>
      </c>
      <c r="D38" t="s">
        <v>165</v>
      </c>
    </row>
    <row r="39" spans="1:4" x14ac:dyDescent="0.2">
      <c r="A39" t="s">
        <v>166</v>
      </c>
      <c r="B39" t="s">
        <v>167</v>
      </c>
      <c r="D39" t="s">
        <v>168</v>
      </c>
    </row>
    <row r="40" spans="1:4" x14ac:dyDescent="0.2">
      <c r="A40" t="s">
        <v>169</v>
      </c>
      <c r="B40" t="s">
        <v>170</v>
      </c>
      <c r="D40" t="s">
        <v>171</v>
      </c>
    </row>
    <row r="42" spans="1:4" x14ac:dyDescent="0.2">
      <c r="A42" t="s">
        <v>172</v>
      </c>
    </row>
    <row r="43" spans="1:4" x14ac:dyDescent="0.2">
      <c r="A43" t="s">
        <v>100</v>
      </c>
      <c r="B43" t="s">
        <v>4</v>
      </c>
      <c r="C43" t="s">
        <v>5</v>
      </c>
      <c r="D43" t="s">
        <v>61</v>
      </c>
    </row>
    <row r="44" spans="1:4" x14ac:dyDescent="0.2">
      <c r="A44" t="s">
        <v>173</v>
      </c>
      <c r="B44" s="3">
        <v>5400</v>
      </c>
      <c r="C44" t="s">
        <v>109</v>
      </c>
      <c r="D44" t="s">
        <v>174</v>
      </c>
    </row>
    <row r="45" spans="1:4" x14ac:dyDescent="0.2">
      <c r="A45" t="s">
        <v>175</v>
      </c>
      <c r="B45" s="3">
        <v>13000</v>
      </c>
      <c r="C45" t="s">
        <v>109</v>
      </c>
      <c r="D45" t="s">
        <v>176</v>
      </c>
    </row>
    <row r="46" spans="1:4" x14ac:dyDescent="0.2">
      <c r="A46" t="s">
        <v>177</v>
      </c>
      <c r="B46" s="3">
        <f>B44+B45</f>
        <v>18400</v>
      </c>
      <c r="C46" t="s">
        <v>109</v>
      </c>
      <c r="D46" t="e">
        <f>B37+B38 (sent with each LLM call)</f>
        <v>#NAME?</v>
      </c>
    </row>
    <row r="47" spans="1:4" x14ac:dyDescent="0.2">
      <c r="A47" t="s">
        <v>179</v>
      </c>
      <c r="B47" s="3">
        <f>B46*(1-B25)</f>
        <v>2760.0000000000005</v>
      </c>
      <c r="C47" t="s">
        <v>109</v>
      </c>
    </row>
    <row r="49" spans="1:4" x14ac:dyDescent="0.2">
      <c r="A49" t="s">
        <v>181</v>
      </c>
    </row>
    <row r="50" spans="1:4" x14ac:dyDescent="0.2">
      <c r="A50" t="s">
        <v>182</v>
      </c>
      <c r="B50" t="s">
        <v>41</v>
      </c>
      <c r="C50" t="s">
        <v>183</v>
      </c>
      <c r="D50" t="s">
        <v>184</v>
      </c>
    </row>
    <row r="51" spans="1:4" x14ac:dyDescent="0.2">
      <c r="A51" t="s">
        <v>185</v>
      </c>
      <c r="B51" t="s">
        <v>186</v>
      </c>
      <c r="C51" t="s">
        <v>187</v>
      </c>
      <c r="D51" t="s">
        <v>188</v>
      </c>
    </row>
    <row r="52" spans="1:4" x14ac:dyDescent="0.2">
      <c r="A52" t="s">
        <v>189</v>
      </c>
      <c r="B52" t="s">
        <v>190</v>
      </c>
      <c r="C52" t="s">
        <v>191</v>
      </c>
      <c r="D52" t="s">
        <v>192</v>
      </c>
    </row>
    <row r="53" spans="1:4" x14ac:dyDescent="0.2">
      <c r="A53" t="s">
        <v>193</v>
      </c>
      <c r="B53" t="s">
        <v>194</v>
      </c>
      <c r="C53" t="s">
        <v>195</v>
      </c>
      <c r="D53" t="s">
        <v>196</v>
      </c>
    </row>
    <row r="55" spans="1:4" x14ac:dyDescent="0.2">
      <c r="A55" t="s">
        <v>197</v>
      </c>
    </row>
    <row r="56" spans="1:4" x14ac:dyDescent="0.2">
      <c r="A56" t="s">
        <v>198</v>
      </c>
    </row>
    <row r="57" spans="1:4" x14ac:dyDescent="0.2">
      <c r="A57" t="s">
        <v>199</v>
      </c>
    </row>
    <row r="58" spans="1:4" x14ac:dyDescent="0.2">
      <c r="A58" t="s">
        <v>200</v>
      </c>
    </row>
    <row r="59" spans="1:4" x14ac:dyDescent="0.2">
      <c r="A59" t="s">
        <v>201</v>
      </c>
    </row>
    <row r="60" spans="1:4" x14ac:dyDescent="0.2">
      <c r="A60" t="s">
        <v>202</v>
      </c>
    </row>
  </sheetData>
  <dataValidations count="3">
    <dataValidation type="list" sqref="B18" xr:uid="{00000000-0002-0000-0100-000000000000}">
      <formula1>"gpt-4o-mini,gpt-4o,claude-sonnet-4,claude-haiku"</formula1>
    </dataValidation>
    <dataValidation type="list" sqref="B19" xr:uid="{00000000-0002-0000-0100-000001000000}">
      <formula1>"text-embedding-3-small,text-embedding-3-large,text-embedding-ada-002"</formula1>
    </dataValidation>
    <dataValidation type="list" sqref="B20 B26" xr:uid="{00000000-0002-0000-0100-000002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topLeftCell="A3" zoomScale="120" zoomScaleNormal="120" workbookViewId="0">
      <selection activeCell="B83" sqref="B82:B83"/>
    </sheetView>
  </sheetViews>
  <sheetFormatPr baseColWidth="10" defaultColWidth="8.83203125" defaultRowHeight="15" x14ac:dyDescent="0.2"/>
  <cols>
    <col min="1" max="1" width="50" customWidth="1"/>
    <col min="2" max="2" width="27" customWidth="1"/>
    <col min="3" max="3" width="28" customWidth="1"/>
    <col min="4" max="4" width="34" customWidth="1"/>
    <col min="5" max="5" width="42" customWidth="1"/>
    <col min="6" max="6" width="21" customWidth="1"/>
    <col min="7" max="7" width="6" customWidth="1"/>
  </cols>
  <sheetData>
    <row r="1" spans="1:6" x14ac:dyDescent="0.2">
      <c r="A1" t="s">
        <v>203</v>
      </c>
    </row>
    <row r="2" spans="1:6" x14ac:dyDescent="0.2">
      <c r="A2" t="s">
        <v>98</v>
      </c>
    </row>
    <row r="3" spans="1:6" x14ac:dyDescent="0.2">
      <c r="A3" t="s">
        <v>204</v>
      </c>
    </row>
    <row r="5" spans="1:6" x14ac:dyDescent="0.2">
      <c r="A5" t="s">
        <v>205</v>
      </c>
    </row>
    <row r="6" spans="1:6" x14ac:dyDescent="0.2">
      <c r="A6" t="s">
        <v>206</v>
      </c>
      <c r="B6" t="s">
        <v>207</v>
      </c>
      <c r="C6" t="s">
        <v>208</v>
      </c>
      <c r="D6" t="s">
        <v>5</v>
      </c>
      <c r="E6" t="s">
        <v>61</v>
      </c>
      <c r="F6" t="s">
        <v>209</v>
      </c>
    </row>
    <row r="7" spans="1:6" x14ac:dyDescent="0.2">
      <c r="A7" t="s">
        <v>210</v>
      </c>
      <c r="B7" t="s">
        <v>211</v>
      </c>
      <c r="C7" t="s">
        <v>212</v>
      </c>
      <c r="D7" t="s">
        <v>213</v>
      </c>
      <c r="E7" t="s">
        <v>214</v>
      </c>
      <c r="F7" t="s">
        <v>139</v>
      </c>
    </row>
    <row r="8" spans="1:6" x14ac:dyDescent="0.2">
      <c r="A8" t="s">
        <v>215</v>
      </c>
      <c r="B8" t="s">
        <v>216</v>
      </c>
      <c r="C8" t="s">
        <v>217</v>
      </c>
      <c r="D8" t="s">
        <v>218</v>
      </c>
      <c r="E8" t="s">
        <v>214</v>
      </c>
      <c r="F8" t="s">
        <v>139</v>
      </c>
    </row>
    <row r="9" spans="1:6" x14ac:dyDescent="0.2">
      <c r="A9" t="s">
        <v>219</v>
      </c>
      <c r="B9" t="s">
        <v>220</v>
      </c>
      <c r="C9" t="s">
        <v>217</v>
      </c>
      <c r="D9" t="s">
        <v>221</v>
      </c>
      <c r="E9" t="s">
        <v>222</v>
      </c>
      <c r="F9" t="s">
        <v>223</v>
      </c>
    </row>
    <row r="11" spans="1:6" x14ac:dyDescent="0.2">
      <c r="A11" t="s">
        <v>224</v>
      </c>
    </row>
    <row r="12" spans="1:6" x14ac:dyDescent="0.2">
      <c r="A12" t="s">
        <v>225</v>
      </c>
      <c r="B12" t="s">
        <v>226</v>
      </c>
      <c r="C12" t="s">
        <v>227</v>
      </c>
      <c r="D12" t="s">
        <v>228</v>
      </c>
      <c r="E12" t="s">
        <v>229</v>
      </c>
    </row>
    <row r="13" spans="1:6" x14ac:dyDescent="0.2">
      <c r="A13" t="s">
        <v>131</v>
      </c>
      <c r="B13" t="s">
        <v>230</v>
      </c>
      <c r="C13" t="s">
        <v>231</v>
      </c>
      <c r="D13" t="s">
        <v>232</v>
      </c>
      <c r="E13" t="s">
        <v>233</v>
      </c>
    </row>
    <row r="14" spans="1:6" x14ac:dyDescent="0.2">
      <c r="A14" t="s">
        <v>234</v>
      </c>
      <c r="B14" t="s">
        <v>235</v>
      </c>
      <c r="C14" t="s">
        <v>236</v>
      </c>
      <c r="D14" t="s">
        <v>232</v>
      </c>
      <c r="E14" t="s">
        <v>237</v>
      </c>
    </row>
    <row r="15" spans="1:6" x14ac:dyDescent="0.2">
      <c r="A15" t="s">
        <v>238</v>
      </c>
      <c r="B15" t="s">
        <v>236</v>
      </c>
      <c r="C15" t="s">
        <v>239</v>
      </c>
      <c r="D15" t="s">
        <v>232</v>
      </c>
      <c r="E15" t="s">
        <v>240</v>
      </c>
    </row>
    <row r="16" spans="1:6" x14ac:dyDescent="0.2">
      <c r="A16" t="s">
        <v>241</v>
      </c>
      <c r="B16" t="s">
        <v>82</v>
      </c>
      <c r="C16" t="s">
        <v>242</v>
      </c>
      <c r="D16" t="s">
        <v>243</v>
      </c>
      <c r="E16" t="s">
        <v>244</v>
      </c>
    </row>
    <row r="18" spans="1:6" x14ac:dyDescent="0.2">
      <c r="A18" t="s">
        <v>245</v>
      </c>
    </row>
    <row r="19" spans="1:6" x14ac:dyDescent="0.2">
      <c r="A19" t="s">
        <v>225</v>
      </c>
      <c r="B19" t="s">
        <v>226</v>
      </c>
      <c r="C19" t="s">
        <v>227</v>
      </c>
      <c r="D19" t="s">
        <v>228</v>
      </c>
      <c r="E19" t="s">
        <v>229</v>
      </c>
      <c r="F19" t="s">
        <v>246</v>
      </c>
    </row>
    <row r="20" spans="1:6" x14ac:dyDescent="0.2">
      <c r="A20" t="s">
        <v>247</v>
      </c>
      <c r="B20" t="s">
        <v>248</v>
      </c>
      <c r="C20" t="s">
        <v>249</v>
      </c>
      <c r="D20" t="s">
        <v>250</v>
      </c>
      <c r="E20" t="s">
        <v>251</v>
      </c>
      <c r="F20" t="s">
        <v>85</v>
      </c>
    </row>
    <row r="21" spans="1:6" x14ac:dyDescent="0.2">
      <c r="A21" t="s">
        <v>252</v>
      </c>
      <c r="B21" t="s">
        <v>253</v>
      </c>
      <c r="C21" t="s">
        <v>254</v>
      </c>
      <c r="D21" t="s">
        <v>250</v>
      </c>
      <c r="E21" t="s">
        <v>255</v>
      </c>
      <c r="F21" t="s">
        <v>85</v>
      </c>
    </row>
    <row r="22" spans="1:6" x14ac:dyDescent="0.2">
      <c r="A22" t="s">
        <v>256</v>
      </c>
      <c r="B22" t="s">
        <v>249</v>
      </c>
      <c r="C22" t="s">
        <v>49</v>
      </c>
      <c r="D22" t="s">
        <v>250</v>
      </c>
      <c r="E22" t="s">
        <v>257</v>
      </c>
      <c r="F22" t="s">
        <v>85</v>
      </c>
    </row>
    <row r="23" spans="1:6" x14ac:dyDescent="0.2">
      <c r="A23" t="s">
        <v>258</v>
      </c>
      <c r="B23" t="s">
        <v>14</v>
      </c>
      <c r="C23" t="s">
        <v>259</v>
      </c>
      <c r="D23" t="s">
        <v>250</v>
      </c>
      <c r="E23" t="s">
        <v>260</v>
      </c>
      <c r="F23" t="s">
        <v>85</v>
      </c>
    </row>
    <row r="25" spans="1:6" x14ac:dyDescent="0.2">
      <c r="A25" t="s">
        <v>261</v>
      </c>
    </row>
    <row r="26" spans="1:6" x14ac:dyDescent="0.2">
      <c r="A26" t="s">
        <v>225</v>
      </c>
      <c r="B26" t="s">
        <v>226</v>
      </c>
      <c r="C26" t="s">
        <v>227</v>
      </c>
      <c r="D26" t="s">
        <v>262</v>
      </c>
      <c r="E26" t="s">
        <v>263</v>
      </c>
      <c r="F26" t="s">
        <v>264</v>
      </c>
    </row>
    <row r="27" spans="1:6" x14ac:dyDescent="0.2">
      <c r="A27" t="s">
        <v>135</v>
      </c>
      <c r="B27" t="s">
        <v>265</v>
      </c>
      <c r="C27" t="s">
        <v>32</v>
      </c>
      <c r="D27" t="s">
        <v>266</v>
      </c>
      <c r="E27" t="s">
        <v>267</v>
      </c>
      <c r="F27" t="s">
        <v>268</v>
      </c>
    </row>
    <row r="28" spans="1:6" x14ac:dyDescent="0.2">
      <c r="A28" t="s">
        <v>269</v>
      </c>
      <c r="B28" t="s">
        <v>270</v>
      </c>
      <c r="C28" t="s">
        <v>32</v>
      </c>
      <c r="D28" t="s">
        <v>271</v>
      </c>
      <c r="E28" t="s">
        <v>272</v>
      </c>
      <c r="F28" t="s">
        <v>273</v>
      </c>
    </row>
    <row r="29" spans="1:6" x14ac:dyDescent="0.2">
      <c r="A29" t="s">
        <v>274</v>
      </c>
      <c r="B29" t="s">
        <v>275</v>
      </c>
      <c r="C29" t="s">
        <v>32</v>
      </c>
      <c r="D29" t="s">
        <v>266</v>
      </c>
      <c r="E29" t="s">
        <v>276</v>
      </c>
      <c r="F29" t="s">
        <v>277</v>
      </c>
    </row>
    <row r="31" spans="1:6" x14ac:dyDescent="0.2">
      <c r="A31" t="s">
        <v>278</v>
      </c>
    </row>
    <row r="32" spans="1:6" x14ac:dyDescent="0.2">
      <c r="A32" t="s">
        <v>279</v>
      </c>
      <c r="B32" t="s">
        <v>280</v>
      </c>
      <c r="C32" t="s">
        <v>281</v>
      </c>
      <c r="D32" t="s">
        <v>282</v>
      </c>
      <c r="E32" t="s">
        <v>61</v>
      </c>
    </row>
    <row r="33" spans="1:5" x14ac:dyDescent="0.2">
      <c r="A33" t="s">
        <v>283</v>
      </c>
      <c r="B33" t="s">
        <v>284</v>
      </c>
      <c r="C33" t="s">
        <v>285</v>
      </c>
      <c r="D33" t="s">
        <v>286</v>
      </c>
      <c r="E33" t="s">
        <v>287</v>
      </c>
    </row>
    <row r="34" spans="1:5" x14ac:dyDescent="0.2">
      <c r="A34" t="s">
        <v>288</v>
      </c>
      <c r="B34" t="s">
        <v>289</v>
      </c>
      <c r="C34" t="s">
        <v>85</v>
      </c>
      <c r="D34" t="s">
        <v>286</v>
      </c>
      <c r="E34" t="s">
        <v>290</v>
      </c>
    </row>
    <row r="36" spans="1:5" x14ac:dyDescent="0.2">
      <c r="A36" t="s">
        <v>291</v>
      </c>
    </row>
    <row r="37" spans="1:5" x14ac:dyDescent="0.2">
      <c r="A37" t="s">
        <v>292</v>
      </c>
      <c r="B37" t="s">
        <v>293</v>
      </c>
      <c r="C37" t="s">
        <v>294</v>
      </c>
      <c r="D37" t="s">
        <v>21</v>
      </c>
    </row>
    <row r="38" spans="1:5" x14ac:dyDescent="0.2">
      <c r="A38" t="s">
        <v>295</v>
      </c>
      <c r="B38" t="s">
        <v>296</v>
      </c>
      <c r="C38" t="s">
        <v>297</v>
      </c>
      <c r="D38" t="s">
        <v>298</v>
      </c>
    </row>
    <row r="39" spans="1:5" x14ac:dyDescent="0.2">
      <c r="A39" t="s">
        <v>299</v>
      </c>
      <c r="B39" t="s">
        <v>300</v>
      </c>
      <c r="C39" t="s">
        <v>301</v>
      </c>
      <c r="D39" t="s">
        <v>298</v>
      </c>
    </row>
    <row r="40" spans="1:5" x14ac:dyDescent="0.2">
      <c r="A40" t="s">
        <v>302</v>
      </c>
      <c r="B40" t="s">
        <v>303</v>
      </c>
      <c r="C40" t="s">
        <v>304</v>
      </c>
      <c r="D40" t="s">
        <v>298</v>
      </c>
    </row>
    <row r="41" spans="1:5" x14ac:dyDescent="0.2">
      <c r="A41" t="s">
        <v>305</v>
      </c>
      <c r="B41" t="s">
        <v>306</v>
      </c>
      <c r="C41" t="s">
        <v>307</v>
      </c>
      <c r="D41" t="s">
        <v>298</v>
      </c>
    </row>
    <row r="43" spans="1:5" x14ac:dyDescent="0.2">
      <c r="A43" t="s">
        <v>308</v>
      </c>
    </row>
    <row r="44" spans="1:5" x14ac:dyDescent="0.2">
      <c r="A44" t="s">
        <v>309</v>
      </c>
      <c r="B44" t="s">
        <v>310</v>
      </c>
      <c r="C44" t="s">
        <v>311</v>
      </c>
      <c r="D44" t="s">
        <v>61</v>
      </c>
    </row>
    <row r="45" spans="1:5" x14ac:dyDescent="0.2">
      <c r="A45" t="s">
        <v>312</v>
      </c>
      <c r="B45" t="e">
        <f>B8/1000</f>
        <v>#VALUE!</v>
      </c>
      <c r="C45" t="s">
        <v>313</v>
      </c>
      <c r="D45" t="s">
        <v>314</v>
      </c>
    </row>
    <row r="46" spans="1:5" x14ac:dyDescent="0.2">
      <c r="A46" t="s">
        <v>315</v>
      </c>
      <c r="B46" t="e">
        <f>C8/1000</f>
        <v>#VALUE!</v>
      </c>
      <c r="C46" t="s">
        <v>316</v>
      </c>
      <c r="D46" t="s">
        <v>314</v>
      </c>
    </row>
    <row r="47" spans="1:5" x14ac:dyDescent="0.2">
      <c r="A47" t="s">
        <v>317</v>
      </c>
      <c r="B47">
        <f>B18/1000</f>
        <v>0</v>
      </c>
      <c r="C47" t="s">
        <v>318</v>
      </c>
      <c r="D47" t="s">
        <v>319</v>
      </c>
    </row>
    <row r="48" spans="1:5" x14ac:dyDescent="0.2">
      <c r="A48" t="s">
        <v>320</v>
      </c>
      <c r="B48" t="e">
        <f>18600 * $B$45</f>
        <v>#VALUE!</v>
      </c>
      <c r="C48" t="s">
        <v>321</v>
      </c>
      <c r="D48" t="s">
        <v>322</v>
      </c>
    </row>
    <row r="49" spans="1:5" x14ac:dyDescent="0.2">
      <c r="A49" t="s">
        <v>323</v>
      </c>
      <c r="B49" t="e">
        <f>18600 * (1-0.85) * $B$45</f>
        <v>#VALUE!</v>
      </c>
      <c r="C49" t="s">
        <v>324</v>
      </c>
      <c r="D49" t="s">
        <v>325</v>
      </c>
    </row>
    <row r="51" spans="1:5" x14ac:dyDescent="0.2">
      <c r="A51" t="s">
        <v>326</v>
      </c>
    </row>
    <row r="52" spans="1:5" x14ac:dyDescent="0.2">
      <c r="A52" t="s">
        <v>327</v>
      </c>
    </row>
    <row r="53" spans="1:5" x14ac:dyDescent="0.2">
      <c r="A53" t="s">
        <v>328</v>
      </c>
    </row>
    <row r="54" spans="1:5" x14ac:dyDescent="0.2">
      <c r="A54" t="s">
        <v>329</v>
      </c>
    </row>
    <row r="55" spans="1:5" x14ac:dyDescent="0.2">
      <c r="A55" t="s">
        <v>330</v>
      </c>
    </row>
    <row r="56" spans="1:5" x14ac:dyDescent="0.2">
      <c r="A56" t="s">
        <v>331</v>
      </c>
    </row>
    <row r="57" spans="1:5" x14ac:dyDescent="0.2">
      <c r="A57" t="s">
        <v>332</v>
      </c>
    </row>
    <row r="58" spans="1:5" x14ac:dyDescent="0.2">
      <c r="A58" t="s">
        <v>333</v>
      </c>
    </row>
    <row r="59" spans="1:5" x14ac:dyDescent="0.2">
      <c r="A59" t="s">
        <v>334</v>
      </c>
    </row>
    <row r="61" spans="1:5" x14ac:dyDescent="0.2">
      <c r="A61" t="s">
        <v>335</v>
      </c>
    </row>
    <row r="62" spans="1:5" x14ac:dyDescent="0.2">
      <c r="A62" t="s">
        <v>182</v>
      </c>
      <c r="B62" t="s">
        <v>336</v>
      </c>
      <c r="C62" t="s">
        <v>337</v>
      </c>
      <c r="D62" t="s">
        <v>338</v>
      </c>
      <c r="E62" t="s">
        <v>75</v>
      </c>
    </row>
    <row r="63" spans="1:5" x14ac:dyDescent="0.2">
      <c r="A63" t="s">
        <v>339</v>
      </c>
      <c r="B63" t="s">
        <v>340</v>
      </c>
      <c r="C63" t="s">
        <v>341</v>
      </c>
      <c r="D63" t="s">
        <v>342</v>
      </c>
      <c r="E63" t="s">
        <v>343</v>
      </c>
    </row>
    <row r="64" spans="1:5" x14ac:dyDescent="0.2">
      <c r="A64" t="s">
        <v>344</v>
      </c>
      <c r="B64" t="s">
        <v>340</v>
      </c>
      <c r="C64" t="s">
        <v>345</v>
      </c>
      <c r="D64" t="s">
        <v>346</v>
      </c>
      <c r="E64" t="s">
        <v>347</v>
      </c>
    </row>
    <row r="65" spans="1:5" x14ac:dyDescent="0.2">
      <c r="A65" t="s">
        <v>348</v>
      </c>
      <c r="B65" t="s">
        <v>349</v>
      </c>
      <c r="C65" t="s">
        <v>80</v>
      </c>
      <c r="D65" t="s">
        <v>350</v>
      </c>
      <c r="E65" t="s">
        <v>351</v>
      </c>
    </row>
    <row r="67" spans="1:5" x14ac:dyDescent="0.2">
      <c r="A67" t="s">
        <v>352</v>
      </c>
    </row>
    <row r="68" spans="1:5" x14ac:dyDescent="0.2">
      <c r="A68" t="s">
        <v>353</v>
      </c>
      <c r="B68" t="s">
        <v>354</v>
      </c>
      <c r="C68" t="s">
        <v>355</v>
      </c>
      <c r="D68" t="s">
        <v>356</v>
      </c>
    </row>
    <row r="69" spans="1:5" x14ac:dyDescent="0.2">
      <c r="A69" t="s">
        <v>357</v>
      </c>
      <c r="B69" t="s">
        <v>358</v>
      </c>
      <c r="C69" t="s">
        <v>359</v>
      </c>
      <c r="D69" t="s">
        <v>360</v>
      </c>
    </row>
    <row r="70" spans="1:5" x14ac:dyDescent="0.2">
      <c r="A70" t="s">
        <v>361</v>
      </c>
      <c r="B70" t="s">
        <v>358</v>
      </c>
      <c r="C70" t="s">
        <v>359</v>
      </c>
      <c r="D70" t="s">
        <v>360</v>
      </c>
    </row>
    <row r="71" spans="1:5" x14ac:dyDescent="0.2">
      <c r="A71" t="s">
        <v>362</v>
      </c>
      <c r="B71" t="s">
        <v>363</v>
      </c>
      <c r="C71" t="s">
        <v>364</v>
      </c>
      <c r="D71" t="s">
        <v>365</v>
      </c>
    </row>
    <row r="72" spans="1:5" x14ac:dyDescent="0.2">
      <c r="A72" t="s">
        <v>366</v>
      </c>
      <c r="B72" t="s">
        <v>363</v>
      </c>
      <c r="C72" t="s">
        <v>364</v>
      </c>
      <c r="D72" t="s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4"/>
  <sheetViews>
    <sheetView topLeftCell="A46" zoomScale="120" zoomScaleNormal="120" workbookViewId="0">
      <selection activeCell="B79" sqref="B79"/>
    </sheetView>
  </sheetViews>
  <sheetFormatPr baseColWidth="10" defaultColWidth="8.83203125" defaultRowHeight="15" x14ac:dyDescent="0.2"/>
  <cols>
    <col min="1" max="1" width="50" customWidth="1"/>
    <col min="2" max="2" width="36" customWidth="1"/>
    <col min="3" max="3" width="24" customWidth="1"/>
    <col min="4" max="4" width="37" customWidth="1"/>
    <col min="5" max="5" width="40" customWidth="1"/>
    <col min="6" max="6" width="2" customWidth="1"/>
    <col min="7" max="7" width="6" customWidth="1"/>
  </cols>
  <sheetData>
    <row r="1" spans="1:4" x14ac:dyDescent="0.2">
      <c r="A1" t="s">
        <v>367</v>
      </c>
    </row>
    <row r="2" spans="1:4" x14ac:dyDescent="0.2">
      <c r="A2" t="s">
        <v>368</v>
      </c>
    </row>
    <row r="4" spans="1:4" x14ac:dyDescent="0.2">
      <c r="A4" t="s">
        <v>369</v>
      </c>
    </row>
    <row r="5" spans="1:4" x14ac:dyDescent="0.2">
      <c r="A5" t="s">
        <v>40</v>
      </c>
      <c r="B5" t="s">
        <v>370</v>
      </c>
      <c r="C5" t="s">
        <v>311</v>
      </c>
      <c r="D5" t="s">
        <v>310</v>
      </c>
    </row>
    <row r="6" spans="1:4" x14ac:dyDescent="0.2">
      <c r="A6" t="s">
        <v>371</v>
      </c>
      <c r="B6" t="s">
        <v>372</v>
      </c>
      <c r="C6" t="s">
        <v>8</v>
      </c>
      <c r="D6">
        <f>'Input Parameters'!B4</f>
        <v>0</v>
      </c>
    </row>
    <row r="7" spans="1:4" x14ac:dyDescent="0.2">
      <c r="A7" t="s">
        <v>373</v>
      </c>
      <c r="B7" t="s">
        <v>372</v>
      </c>
      <c r="C7" t="s">
        <v>158</v>
      </c>
      <c r="D7">
        <f>'Input Parameters'!B29</f>
        <v>100</v>
      </c>
    </row>
    <row r="8" spans="1:4" x14ac:dyDescent="0.2">
      <c r="A8" t="s">
        <v>374</v>
      </c>
      <c r="B8" t="s">
        <v>375</v>
      </c>
      <c r="C8" t="s">
        <v>376</v>
      </c>
      <c r="D8" t="e">
        <f>B5*B6</f>
        <v>#VALUE!</v>
      </c>
    </row>
    <row r="9" spans="1:4" x14ac:dyDescent="0.2">
      <c r="A9" t="s">
        <v>377</v>
      </c>
      <c r="B9" t="s">
        <v>378</v>
      </c>
      <c r="C9" t="s">
        <v>212</v>
      </c>
      <c r="D9" t="str">
        <f>'Pricing Reference'!C7</f>
        <v>$0.05</v>
      </c>
    </row>
    <row r="10" spans="1:4" x14ac:dyDescent="0.2">
      <c r="A10" t="s">
        <v>379</v>
      </c>
      <c r="B10" t="s">
        <v>380</v>
      </c>
      <c r="C10" t="s">
        <v>381</v>
      </c>
      <c r="D10" t="e">
        <f>B7*B8</f>
        <v>#VALUE!</v>
      </c>
    </row>
    <row r="12" spans="1:4" x14ac:dyDescent="0.2">
      <c r="A12" t="s">
        <v>382</v>
      </c>
      <c r="B12" t="s">
        <v>383</v>
      </c>
      <c r="C12" t="s">
        <v>384</v>
      </c>
      <c r="D12" t="e">
        <f>B5*0.5</f>
        <v>#VALUE!</v>
      </c>
    </row>
    <row r="13" spans="1:4" x14ac:dyDescent="0.2">
      <c r="A13" t="s">
        <v>385</v>
      </c>
      <c r="B13" t="s">
        <v>378</v>
      </c>
      <c r="C13" t="s">
        <v>217</v>
      </c>
      <c r="D13" t="str">
        <f>'Pricing Reference'!C8</f>
        <v>$0.01</v>
      </c>
    </row>
    <row r="14" spans="1:4" x14ac:dyDescent="0.2">
      <c r="A14" t="s">
        <v>386</v>
      </c>
      <c r="B14" t="s">
        <v>387</v>
      </c>
      <c r="C14" t="s">
        <v>235</v>
      </c>
      <c r="D14" t="e">
        <f>B11*B12</f>
        <v>#VALUE!</v>
      </c>
    </row>
    <row r="16" spans="1:4" x14ac:dyDescent="0.2">
      <c r="A16" t="s">
        <v>388</v>
      </c>
      <c r="B16" t="s">
        <v>389</v>
      </c>
      <c r="C16" t="s">
        <v>390</v>
      </c>
      <c r="D16" t="e">
        <f>B9+B13</f>
        <v>#VALUE!</v>
      </c>
    </row>
    <row r="18" spans="1:4" x14ac:dyDescent="0.2">
      <c r="A18" t="s">
        <v>391</v>
      </c>
    </row>
    <row r="19" spans="1:4" x14ac:dyDescent="0.2">
      <c r="A19" t="s">
        <v>40</v>
      </c>
      <c r="B19" t="s">
        <v>370</v>
      </c>
      <c r="C19" t="s">
        <v>311</v>
      </c>
      <c r="D19" t="s">
        <v>310</v>
      </c>
    </row>
    <row r="20" spans="1:4" x14ac:dyDescent="0.2">
      <c r="A20" t="s">
        <v>107</v>
      </c>
      <c r="B20" t="s">
        <v>372</v>
      </c>
      <c r="C20" t="s">
        <v>108</v>
      </c>
      <c r="D20" t="str">
        <f>'Input Parameters'!B5</f>
        <v>Value</v>
      </c>
    </row>
    <row r="21" spans="1:4" x14ac:dyDescent="0.2">
      <c r="A21" t="s">
        <v>114</v>
      </c>
      <c r="B21" t="s">
        <v>372</v>
      </c>
      <c r="C21" t="s">
        <v>115</v>
      </c>
      <c r="D21">
        <f>'Input Parameters'!B11</f>
        <v>0</v>
      </c>
    </row>
    <row r="22" spans="1:4" x14ac:dyDescent="0.2">
      <c r="A22" t="s">
        <v>392</v>
      </c>
      <c r="B22" t="s">
        <v>393</v>
      </c>
      <c r="C22" t="s">
        <v>148</v>
      </c>
    </row>
    <row r="23" spans="1:4" x14ac:dyDescent="0.2">
      <c r="A23" t="s">
        <v>394</v>
      </c>
      <c r="B23" t="s">
        <v>372</v>
      </c>
      <c r="C23" t="s">
        <v>139</v>
      </c>
      <c r="D23">
        <f>'Input Parameters'!B26</f>
        <v>0</v>
      </c>
    </row>
    <row r="24" spans="1:4" x14ac:dyDescent="0.2">
      <c r="A24" t="s">
        <v>122</v>
      </c>
      <c r="B24" t="s">
        <v>372</v>
      </c>
      <c r="C24" t="s">
        <v>123</v>
      </c>
      <c r="D24" t="str">
        <f>'Input Parameters'!B13</f>
        <v>Value</v>
      </c>
    </row>
    <row r="25" spans="1:4" x14ac:dyDescent="0.2">
      <c r="A25" t="s">
        <v>395</v>
      </c>
      <c r="B25" t="s">
        <v>396</v>
      </c>
      <c r="C25" t="s">
        <v>148</v>
      </c>
    </row>
    <row r="27" spans="1:4" x14ac:dyDescent="0.2">
      <c r="A27" t="s">
        <v>397</v>
      </c>
      <c r="B27" t="s">
        <v>398</v>
      </c>
      <c r="C27" t="s">
        <v>399</v>
      </c>
      <c r="D27" t="e">
        <f>B5*B23</f>
        <v>#VALUE!</v>
      </c>
    </row>
    <row r="29" spans="1:4" x14ac:dyDescent="0.2">
      <c r="A29" t="s">
        <v>400</v>
      </c>
    </row>
    <row r="30" spans="1:4" x14ac:dyDescent="0.2">
      <c r="A30" t="s">
        <v>40</v>
      </c>
      <c r="B30" t="s">
        <v>370</v>
      </c>
      <c r="C30" t="s">
        <v>311</v>
      </c>
      <c r="D30" t="s">
        <v>310</v>
      </c>
    </row>
    <row r="31" spans="1:4" x14ac:dyDescent="0.2">
      <c r="A31" t="s">
        <v>401</v>
      </c>
      <c r="B31" t="s">
        <v>402</v>
      </c>
      <c r="C31" t="s">
        <v>178</v>
      </c>
      <c r="D31" t="e">
        <f>'Pricing Reference'!B49</f>
        <v>#VALUE!</v>
      </c>
    </row>
    <row r="32" spans="1:4" x14ac:dyDescent="0.2">
      <c r="A32" t="s">
        <v>403</v>
      </c>
      <c r="B32" t="s">
        <v>372</v>
      </c>
      <c r="C32" t="s">
        <v>139</v>
      </c>
      <c r="D32">
        <f>'Input Parameters'!B19</f>
        <v>4</v>
      </c>
    </row>
    <row r="33" spans="1:4" x14ac:dyDescent="0.2">
      <c r="A33" t="s">
        <v>88</v>
      </c>
      <c r="B33" t="s">
        <v>372</v>
      </c>
      <c r="C33" t="s">
        <v>90</v>
      </c>
      <c r="D33">
        <f>'Input Parameters'!B20</f>
        <v>0</v>
      </c>
    </row>
    <row r="34" spans="1:4" x14ac:dyDescent="0.2">
      <c r="A34" t="s">
        <v>404</v>
      </c>
      <c r="B34" t="s">
        <v>405</v>
      </c>
      <c r="C34" t="s">
        <v>180</v>
      </c>
      <c r="D34" t="e">
        <f>B28*(1-B30)</f>
        <v>#VALUE!</v>
      </c>
    </row>
    <row r="36" spans="1:4" x14ac:dyDescent="0.2">
      <c r="A36" t="s">
        <v>406</v>
      </c>
      <c r="B36" t="s">
        <v>407</v>
      </c>
      <c r="C36" t="s">
        <v>408</v>
      </c>
      <c r="D36" t="e">
        <f>B24*B31</f>
        <v>#VALUE!</v>
      </c>
    </row>
    <row r="37" spans="1:4" x14ac:dyDescent="0.2">
      <c r="A37" t="s">
        <v>409</v>
      </c>
      <c r="B37" t="s">
        <v>410</v>
      </c>
      <c r="C37" t="s">
        <v>411</v>
      </c>
      <c r="D37" t="e">
        <f>B24*B19</f>
        <v>#VALUE!</v>
      </c>
    </row>
    <row r="38" spans="1:4" x14ac:dyDescent="0.2">
      <c r="A38" t="s">
        <v>412</v>
      </c>
      <c r="B38" t="s">
        <v>413</v>
      </c>
      <c r="C38" t="s">
        <v>414</v>
      </c>
      <c r="D38" t="e">
        <f>B32+B33</f>
        <v>#VALUE!</v>
      </c>
    </row>
    <row r="40" spans="1:4" x14ac:dyDescent="0.2">
      <c r="A40" t="s">
        <v>415</v>
      </c>
      <c r="B40" t="s">
        <v>372</v>
      </c>
      <c r="C40" t="s">
        <v>131</v>
      </c>
      <c r="D40">
        <f>'Input Parameters'!B18</f>
        <v>0</v>
      </c>
    </row>
    <row r="41" spans="1:4" x14ac:dyDescent="0.2">
      <c r="A41" t="s">
        <v>416</v>
      </c>
      <c r="B41" t="s">
        <v>378</v>
      </c>
      <c r="C41" t="s">
        <v>230</v>
      </c>
      <c r="D41" t="str">
        <f>'Pricing Reference'!B8</f>
        <v>Per Document</v>
      </c>
    </row>
    <row r="42" spans="1:4" x14ac:dyDescent="0.2">
      <c r="A42" t="s">
        <v>417</v>
      </c>
      <c r="B42" t="s">
        <v>378</v>
      </c>
      <c r="C42" t="s">
        <v>231</v>
      </c>
      <c r="D42" t="str">
        <f>'Pricing Reference'!C8</f>
        <v>$0.01</v>
      </c>
    </row>
    <row r="44" spans="1:4" x14ac:dyDescent="0.2">
      <c r="A44" t="s">
        <v>418</v>
      </c>
      <c r="B44" t="s">
        <v>419</v>
      </c>
      <c r="C44" t="s">
        <v>420</v>
      </c>
      <c r="D44" t="e">
        <f>B34*0.2</f>
        <v>#VALUE!</v>
      </c>
    </row>
    <row r="46" spans="1:4" x14ac:dyDescent="0.2">
      <c r="A46" t="s">
        <v>421</v>
      </c>
      <c r="B46" t="s">
        <v>422</v>
      </c>
      <c r="C46" t="s">
        <v>423</v>
      </c>
      <c r="D46" t="e">
        <f>B34*B37/1000000</f>
        <v>#VALUE!</v>
      </c>
    </row>
    <row r="47" spans="1:4" x14ac:dyDescent="0.2">
      <c r="A47" t="s">
        <v>424</v>
      </c>
      <c r="B47" t="s">
        <v>425</v>
      </c>
      <c r="C47" t="s">
        <v>426</v>
      </c>
      <c r="D47" t="e">
        <f>B39*B38/1000000</f>
        <v>#VALUE!</v>
      </c>
    </row>
    <row r="48" spans="1:4" x14ac:dyDescent="0.2">
      <c r="A48" t="s">
        <v>427</v>
      </c>
      <c r="B48" t="s">
        <v>428</v>
      </c>
      <c r="C48" t="s">
        <v>429</v>
      </c>
      <c r="D48" t="e">
        <f>B41+B42</f>
        <v>#VALUE!</v>
      </c>
    </row>
    <row r="50" spans="1:4" x14ac:dyDescent="0.2">
      <c r="A50" t="s">
        <v>430</v>
      </c>
    </row>
    <row r="51" spans="1:4" x14ac:dyDescent="0.2">
      <c r="A51" t="s">
        <v>40</v>
      </c>
      <c r="B51" t="s">
        <v>370</v>
      </c>
      <c r="C51" t="s">
        <v>311</v>
      </c>
      <c r="D51" t="s">
        <v>310</v>
      </c>
    </row>
    <row r="52" spans="1:4" x14ac:dyDescent="0.2">
      <c r="A52" t="s">
        <v>431</v>
      </c>
      <c r="B52" t="s">
        <v>432</v>
      </c>
      <c r="C52" t="s">
        <v>433</v>
      </c>
      <c r="D52" t="e">
        <f>B5*B18</f>
        <v>#VALUE!</v>
      </c>
    </row>
    <row r="53" spans="1:4" x14ac:dyDescent="0.2">
      <c r="A53" t="s">
        <v>434</v>
      </c>
      <c r="B53" t="s">
        <v>372</v>
      </c>
      <c r="C53" t="s">
        <v>135</v>
      </c>
      <c r="D53">
        <f>'Input Parameters'!B19</f>
        <v>4</v>
      </c>
    </row>
    <row r="54" spans="1:4" x14ac:dyDescent="0.2">
      <c r="A54" t="s">
        <v>435</v>
      </c>
      <c r="B54" t="s">
        <v>378</v>
      </c>
      <c r="C54" t="s">
        <v>265</v>
      </c>
      <c r="D54">
        <f>'Pricing Reference'!B18</f>
        <v>0</v>
      </c>
    </row>
    <row r="56" spans="1:4" x14ac:dyDescent="0.2">
      <c r="A56" t="s">
        <v>436</v>
      </c>
      <c r="B56" t="s">
        <v>437</v>
      </c>
      <c r="C56" t="s">
        <v>381</v>
      </c>
      <c r="D56" t="e">
        <f>B46*B48/1000000</f>
        <v>#VALUE!</v>
      </c>
    </row>
    <row r="58" spans="1:4" x14ac:dyDescent="0.2">
      <c r="A58" t="s">
        <v>438</v>
      </c>
      <c r="B58" t="s">
        <v>439</v>
      </c>
      <c r="C58" t="s">
        <v>440</v>
      </c>
      <c r="D58" t="e">
        <f>B5*200</f>
        <v>#VALUE!</v>
      </c>
    </row>
    <row r="59" spans="1:4" x14ac:dyDescent="0.2">
      <c r="A59" t="s">
        <v>441</v>
      </c>
      <c r="B59" t="s">
        <v>442</v>
      </c>
      <c r="C59" t="s">
        <v>120</v>
      </c>
      <c r="D59" t="s">
        <v>443</v>
      </c>
    </row>
    <row r="60" spans="1:4" x14ac:dyDescent="0.2">
      <c r="A60" t="s">
        <v>444</v>
      </c>
      <c r="B60" t="s">
        <v>445</v>
      </c>
      <c r="C60" t="s">
        <v>446</v>
      </c>
      <c r="D60" t="e">
        <f>B51*B52</f>
        <v>#VALUE!</v>
      </c>
    </row>
    <row r="61" spans="1:4" x14ac:dyDescent="0.2">
      <c r="A61" t="s">
        <v>447</v>
      </c>
      <c r="B61" t="s">
        <v>448</v>
      </c>
      <c r="C61" t="s">
        <v>449</v>
      </c>
      <c r="D61" t="e">
        <f>B53*B48/1000000</f>
        <v>#VALUE!</v>
      </c>
    </row>
    <row r="63" spans="1:4" x14ac:dyDescent="0.2">
      <c r="A63" t="s">
        <v>450</v>
      </c>
      <c r="B63" t="s">
        <v>451</v>
      </c>
      <c r="C63" t="s">
        <v>452</v>
      </c>
      <c r="D63" t="e">
        <f>B5*500</f>
        <v>#VALUE!</v>
      </c>
    </row>
    <row r="64" spans="1:4" x14ac:dyDescent="0.2">
      <c r="A64" t="s">
        <v>453</v>
      </c>
      <c r="B64" t="s">
        <v>442</v>
      </c>
      <c r="C64" t="s">
        <v>123</v>
      </c>
      <c r="D64" t="s">
        <v>443</v>
      </c>
    </row>
    <row r="65" spans="1:4" x14ac:dyDescent="0.2">
      <c r="A65" t="s">
        <v>454</v>
      </c>
      <c r="B65" t="s">
        <v>455</v>
      </c>
      <c r="C65" t="s">
        <v>456</v>
      </c>
      <c r="D65" t="e">
        <f>B56*B57</f>
        <v>#VALUE!</v>
      </c>
    </row>
    <row r="66" spans="1:4" x14ac:dyDescent="0.2">
      <c r="A66" t="s">
        <v>457</v>
      </c>
      <c r="B66" t="s">
        <v>448</v>
      </c>
      <c r="C66" t="s">
        <v>342</v>
      </c>
      <c r="D66" t="e">
        <f>B58*B48/1000000</f>
        <v>#VALUE!</v>
      </c>
    </row>
    <row r="68" spans="1:4" x14ac:dyDescent="0.2">
      <c r="A68" t="s">
        <v>458</v>
      </c>
      <c r="B68" t="s">
        <v>459</v>
      </c>
      <c r="C68" t="s">
        <v>460</v>
      </c>
      <c r="D68" t="e">
        <f>B50+B54+B59</f>
        <v>#VALUE!</v>
      </c>
    </row>
    <row r="70" spans="1:4" x14ac:dyDescent="0.2">
      <c r="A70" t="s">
        <v>461</v>
      </c>
    </row>
    <row r="71" spans="1:4" x14ac:dyDescent="0.2">
      <c r="A71" t="s">
        <v>40</v>
      </c>
      <c r="B71" t="s">
        <v>462</v>
      </c>
      <c r="C71" t="s">
        <v>42</v>
      </c>
      <c r="D71" t="s">
        <v>61</v>
      </c>
    </row>
    <row r="72" spans="1:4" x14ac:dyDescent="0.2">
      <c r="A72" t="s">
        <v>463</v>
      </c>
      <c r="B72" t="s">
        <v>390</v>
      </c>
      <c r="C72" t="s">
        <v>464</v>
      </c>
      <c r="D72" t="s">
        <v>465</v>
      </c>
    </row>
    <row r="73" spans="1:4" x14ac:dyDescent="0.2">
      <c r="A73" t="s">
        <v>466</v>
      </c>
      <c r="B73" t="s">
        <v>429</v>
      </c>
      <c r="C73" t="s">
        <v>467</v>
      </c>
      <c r="D73" t="s">
        <v>468</v>
      </c>
    </row>
    <row r="74" spans="1:4" x14ac:dyDescent="0.2">
      <c r="A74" t="s">
        <v>469</v>
      </c>
      <c r="B74" t="s">
        <v>460</v>
      </c>
      <c r="C74" t="s">
        <v>470</v>
      </c>
      <c r="D74" t="s">
        <v>471</v>
      </c>
    </row>
    <row r="76" spans="1:4" x14ac:dyDescent="0.2">
      <c r="A76" t="s">
        <v>472</v>
      </c>
      <c r="B76" t="s">
        <v>473</v>
      </c>
      <c r="C76" t="s">
        <v>474</v>
      </c>
    </row>
    <row r="77" spans="1:4" x14ac:dyDescent="0.2">
      <c r="A77" t="s">
        <v>475</v>
      </c>
      <c r="B77" t="s">
        <v>372</v>
      </c>
      <c r="C77" t="s">
        <v>476</v>
      </c>
      <c r="D77">
        <f>'Input Parameters'!B27</f>
        <v>0</v>
      </c>
    </row>
    <row r="79" spans="1:4" x14ac:dyDescent="0.2">
      <c r="A79" t="s">
        <v>477</v>
      </c>
      <c r="B79">
        <v>258.54000000000002</v>
      </c>
      <c r="C79" t="s">
        <v>54</v>
      </c>
      <c r="D79">
        <f>SUM(B64:B66)+B69</f>
        <v>0</v>
      </c>
    </row>
    <row r="81" spans="1:5" x14ac:dyDescent="0.2">
      <c r="A81" t="s">
        <v>479</v>
      </c>
    </row>
    <row r="82" spans="1:5" x14ac:dyDescent="0.2">
      <c r="A82" t="s">
        <v>16</v>
      </c>
      <c r="B82" t="s">
        <v>370</v>
      </c>
      <c r="C82" t="s">
        <v>311</v>
      </c>
      <c r="D82" t="s">
        <v>61</v>
      </c>
    </row>
    <row r="83" spans="1:5" x14ac:dyDescent="0.2">
      <c r="A83" t="s">
        <v>13</v>
      </c>
      <c r="B83" t="s">
        <v>480</v>
      </c>
      <c r="C83" t="s">
        <v>481</v>
      </c>
      <c r="D83" t="e">
        <f>B71/B5</f>
        <v>#VALUE!</v>
      </c>
    </row>
    <row r="84" spans="1:5" x14ac:dyDescent="0.2">
      <c r="A84" t="s">
        <v>482</v>
      </c>
      <c r="B84" t="s">
        <v>483</v>
      </c>
      <c r="C84" t="s">
        <v>270</v>
      </c>
      <c r="D84" t="e">
        <f>B71/B24</f>
        <v>#VALUE!</v>
      </c>
    </row>
    <row r="85" spans="1:5" x14ac:dyDescent="0.2">
      <c r="A85" t="s">
        <v>484</v>
      </c>
      <c r="B85" t="s">
        <v>485</v>
      </c>
      <c r="C85" t="s">
        <v>486</v>
      </c>
      <c r="D85" t="e">
        <f>B43/B34</f>
        <v>#VALUE!</v>
      </c>
    </row>
    <row r="87" spans="1:5" x14ac:dyDescent="0.2">
      <c r="A87" t="s">
        <v>56</v>
      </c>
    </row>
    <row r="88" spans="1:5" x14ac:dyDescent="0.2">
      <c r="A88" t="s">
        <v>40</v>
      </c>
      <c r="B88" t="s">
        <v>487</v>
      </c>
      <c r="C88" t="s">
        <v>75</v>
      </c>
    </row>
    <row r="89" spans="1:5" x14ac:dyDescent="0.2">
      <c r="A89" t="s">
        <v>488</v>
      </c>
      <c r="B89" t="s">
        <v>489</v>
      </c>
      <c r="C89" t="s">
        <v>490</v>
      </c>
      <c r="D89" t="e">
        <f>B71*12</f>
        <v>#VALUE!</v>
      </c>
    </row>
    <row r="90" spans="1:5" x14ac:dyDescent="0.2">
      <c r="A90" t="s">
        <v>491</v>
      </c>
      <c r="B90" t="s">
        <v>492</v>
      </c>
      <c r="C90" t="s">
        <v>493</v>
      </c>
      <c r="D90" t="e">
        <f>B5*12</f>
        <v>#VALUE!</v>
      </c>
    </row>
    <row r="91" spans="1:5" x14ac:dyDescent="0.2">
      <c r="A91" t="s">
        <v>494</v>
      </c>
      <c r="B91" t="s">
        <v>495</v>
      </c>
      <c r="C91" t="s">
        <v>481</v>
      </c>
      <c r="D91" t="e">
        <f>B80/B81</f>
        <v>#DIV/0!</v>
      </c>
    </row>
    <row r="93" spans="1:5" x14ac:dyDescent="0.2">
      <c r="A93" t="s">
        <v>496</v>
      </c>
    </row>
    <row r="94" spans="1:5" x14ac:dyDescent="0.2">
      <c r="A94" t="s">
        <v>497</v>
      </c>
      <c r="B94" t="s">
        <v>78</v>
      </c>
      <c r="C94" t="s">
        <v>498</v>
      </c>
      <c r="D94" t="s">
        <v>499</v>
      </c>
      <c r="E94" t="s">
        <v>61</v>
      </c>
    </row>
    <row r="95" spans="1:5" x14ac:dyDescent="0.2">
      <c r="A95" t="s">
        <v>500</v>
      </c>
      <c r="B95" t="s">
        <v>501</v>
      </c>
      <c r="C95" t="s">
        <v>478</v>
      </c>
      <c r="D95" t="s">
        <v>502</v>
      </c>
      <c r="E95" t="s">
        <v>503</v>
      </c>
    </row>
    <row r="96" spans="1:5" x14ac:dyDescent="0.2">
      <c r="A96" t="s">
        <v>504</v>
      </c>
      <c r="B96" t="s">
        <v>505</v>
      </c>
      <c r="C96" t="s">
        <v>478</v>
      </c>
      <c r="D96" t="s">
        <v>506</v>
      </c>
      <c r="E96" t="s">
        <v>507</v>
      </c>
    </row>
    <row r="97" spans="1:5" x14ac:dyDescent="0.2">
      <c r="A97" t="s">
        <v>508</v>
      </c>
      <c r="B97" t="s">
        <v>478</v>
      </c>
      <c r="C97" t="s">
        <v>509</v>
      </c>
      <c r="D97" t="s">
        <v>510</v>
      </c>
      <c r="E97" t="s">
        <v>511</v>
      </c>
    </row>
    <row r="99" spans="1:5" x14ac:dyDescent="0.2">
      <c r="A99" t="s">
        <v>512</v>
      </c>
    </row>
    <row r="100" spans="1:5" x14ac:dyDescent="0.2">
      <c r="A100" t="s">
        <v>513</v>
      </c>
      <c r="B100" t="s">
        <v>514</v>
      </c>
      <c r="C100" t="s">
        <v>515</v>
      </c>
      <c r="D100" t="s">
        <v>516</v>
      </c>
      <c r="E100" t="s">
        <v>517</v>
      </c>
    </row>
    <row r="101" spans="1:5" x14ac:dyDescent="0.2">
      <c r="A101" t="s">
        <v>518</v>
      </c>
      <c r="B101" t="s">
        <v>8</v>
      </c>
      <c r="C101" t="s">
        <v>519</v>
      </c>
      <c r="D101" t="s">
        <v>520</v>
      </c>
      <c r="E101" t="s">
        <v>521</v>
      </c>
    </row>
    <row r="102" spans="1:5" x14ac:dyDescent="0.2">
      <c r="A102" t="s">
        <v>522</v>
      </c>
      <c r="B102" t="s">
        <v>108</v>
      </c>
      <c r="C102" t="s">
        <v>523</v>
      </c>
      <c r="D102" t="s">
        <v>524</v>
      </c>
      <c r="E102" t="s">
        <v>525</v>
      </c>
    </row>
    <row r="103" spans="1:5" x14ac:dyDescent="0.2">
      <c r="A103" t="s">
        <v>88</v>
      </c>
      <c r="B103" t="s">
        <v>90</v>
      </c>
      <c r="C103" t="s">
        <v>526</v>
      </c>
      <c r="D103" t="s">
        <v>527</v>
      </c>
      <c r="E103" t="s">
        <v>528</v>
      </c>
    </row>
    <row r="104" spans="1:5" x14ac:dyDescent="0.2">
      <c r="A104" t="s">
        <v>529</v>
      </c>
      <c r="B104" t="s">
        <v>148</v>
      </c>
      <c r="C104" t="s">
        <v>530</v>
      </c>
      <c r="D104" t="s">
        <v>531</v>
      </c>
      <c r="E104" t="s">
        <v>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"/>
  <sheetViews>
    <sheetView zoomScale="120" zoomScaleNormal="120" workbookViewId="0"/>
  </sheetViews>
  <sheetFormatPr baseColWidth="10" defaultColWidth="8.83203125" defaultRowHeight="15" x14ac:dyDescent="0.2"/>
  <cols>
    <col min="1" max="1" width="50" customWidth="1"/>
    <col min="2" max="2" width="49" customWidth="1"/>
    <col min="3" max="3" width="19" customWidth="1"/>
    <col min="4" max="5" width="42" customWidth="1"/>
    <col min="6" max="6" width="23" customWidth="1"/>
    <col min="7" max="7" width="30" customWidth="1"/>
    <col min="8" max="9" width="6" customWidth="1"/>
  </cols>
  <sheetData>
    <row r="1" spans="1:7" x14ac:dyDescent="0.2">
      <c r="A1" t="s">
        <v>533</v>
      </c>
    </row>
    <row r="2" spans="1:7" x14ac:dyDescent="0.2">
      <c r="A2" t="s">
        <v>534</v>
      </c>
    </row>
    <row r="4" spans="1:7" x14ac:dyDescent="0.2">
      <c r="A4" t="s">
        <v>535</v>
      </c>
      <c r="C4" t="s">
        <v>536</v>
      </c>
      <c r="D4" t="s">
        <v>537</v>
      </c>
      <c r="E4" t="s">
        <v>538</v>
      </c>
      <c r="F4" t="s">
        <v>539</v>
      </c>
      <c r="G4" t="s">
        <v>540</v>
      </c>
    </row>
    <row r="5" spans="1:7" x14ac:dyDescent="0.2">
      <c r="A5" t="s">
        <v>541</v>
      </c>
      <c r="C5" t="s">
        <v>542</v>
      </c>
      <c r="D5" t="s">
        <v>543</v>
      </c>
      <c r="E5" t="s">
        <v>544</v>
      </c>
      <c r="F5" t="s">
        <v>545</v>
      </c>
      <c r="G5" t="s">
        <v>546</v>
      </c>
    </row>
    <row r="7" spans="1:7" x14ac:dyDescent="0.2">
      <c r="A7" t="s">
        <v>547</v>
      </c>
    </row>
    <row r="8" spans="1:7" x14ac:dyDescent="0.2">
      <c r="A8" t="s">
        <v>7</v>
      </c>
      <c r="C8" t="s">
        <v>111</v>
      </c>
      <c r="D8" t="s">
        <v>8</v>
      </c>
      <c r="E8" t="s">
        <v>376</v>
      </c>
      <c r="F8" t="s">
        <v>8</v>
      </c>
      <c r="G8" t="s">
        <v>8</v>
      </c>
    </row>
    <row r="9" spans="1:7" x14ac:dyDescent="0.2">
      <c r="A9" t="s">
        <v>548</v>
      </c>
      <c r="C9" t="s">
        <v>131</v>
      </c>
      <c r="D9" t="s">
        <v>131</v>
      </c>
      <c r="E9" t="s">
        <v>131</v>
      </c>
      <c r="F9" t="s">
        <v>549</v>
      </c>
      <c r="G9" t="s">
        <v>131</v>
      </c>
    </row>
    <row r="10" spans="1:7" x14ac:dyDescent="0.2">
      <c r="A10" t="s">
        <v>134</v>
      </c>
      <c r="C10" t="s">
        <v>550</v>
      </c>
      <c r="D10" t="s">
        <v>550</v>
      </c>
      <c r="E10" t="s">
        <v>550</v>
      </c>
      <c r="F10" t="s">
        <v>551</v>
      </c>
      <c r="G10" t="s">
        <v>550</v>
      </c>
    </row>
    <row r="11" spans="1:7" x14ac:dyDescent="0.2">
      <c r="A11" t="s">
        <v>552</v>
      </c>
      <c r="C11" t="s">
        <v>139</v>
      </c>
      <c r="D11" t="s">
        <v>139</v>
      </c>
      <c r="E11" t="s">
        <v>139</v>
      </c>
      <c r="F11" t="s">
        <v>139</v>
      </c>
      <c r="G11" t="s">
        <v>139</v>
      </c>
    </row>
    <row r="12" spans="1:7" x14ac:dyDescent="0.2">
      <c r="A12" t="s">
        <v>88</v>
      </c>
      <c r="C12" t="s">
        <v>90</v>
      </c>
      <c r="D12" t="s">
        <v>90</v>
      </c>
      <c r="E12" t="s">
        <v>90</v>
      </c>
      <c r="F12" t="s">
        <v>85</v>
      </c>
      <c r="G12" t="s">
        <v>90</v>
      </c>
    </row>
    <row r="13" spans="1:7" x14ac:dyDescent="0.2">
      <c r="A13" t="s">
        <v>553</v>
      </c>
      <c r="C13" t="s">
        <v>139</v>
      </c>
      <c r="D13" t="s">
        <v>139</v>
      </c>
      <c r="E13" t="s">
        <v>139</v>
      </c>
      <c r="F13" t="s">
        <v>223</v>
      </c>
      <c r="G13" t="s">
        <v>139</v>
      </c>
    </row>
    <row r="14" spans="1:7" x14ac:dyDescent="0.2">
      <c r="A14" t="s">
        <v>122</v>
      </c>
      <c r="C14" t="s">
        <v>123</v>
      </c>
      <c r="D14" t="s">
        <v>123</v>
      </c>
      <c r="E14" t="s">
        <v>123</v>
      </c>
      <c r="F14" t="s">
        <v>554</v>
      </c>
      <c r="G14" t="s">
        <v>154</v>
      </c>
    </row>
    <row r="15" spans="1:7" x14ac:dyDescent="0.2">
      <c r="A15" t="s">
        <v>107</v>
      </c>
      <c r="C15" t="s">
        <v>108</v>
      </c>
      <c r="D15" t="s">
        <v>108</v>
      </c>
      <c r="E15" t="s">
        <v>108</v>
      </c>
      <c r="F15" t="s">
        <v>108</v>
      </c>
      <c r="G15" t="s">
        <v>555</v>
      </c>
    </row>
    <row r="17" spans="1:7" x14ac:dyDescent="0.2">
      <c r="A17" t="s">
        <v>556</v>
      </c>
    </row>
    <row r="18" spans="1:7" x14ac:dyDescent="0.2">
      <c r="A18" t="s">
        <v>463</v>
      </c>
      <c r="C18" t="s">
        <v>557</v>
      </c>
      <c r="D18" t="s">
        <v>390</v>
      </c>
      <c r="E18" t="s">
        <v>558</v>
      </c>
      <c r="F18" t="s">
        <v>390</v>
      </c>
      <c r="G18" t="s">
        <v>390</v>
      </c>
    </row>
    <row r="19" spans="1:7" x14ac:dyDescent="0.2">
      <c r="A19" t="s">
        <v>466</v>
      </c>
      <c r="C19" t="s">
        <v>559</v>
      </c>
      <c r="D19" t="s">
        <v>429</v>
      </c>
      <c r="E19" t="s">
        <v>560</v>
      </c>
      <c r="F19" t="s">
        <v>561</v>
      </c>
      <c r="G19" t="s">
        <v>429</v>
      </c>
    </row>
    <row r="20" spans="1:7" x14ac:dyDescent="0.2">
      <c r="A20" t="s">
        <v>469</v>
      </c>
      <c r="C20" t="s">
        <v>562</v>
      </c>
      <c r="D20" t="s">
        <v>460</v>
      </c>
      <c r="E20" t="s">
        <v>563</v>
      </c>
      <c r="F20" t="s">
        <v>564</v>
      </c>
      <c r="G20" t="s">
        <v>460</v>
      </c>
    </row>
    <row r="21" spans="1:7" x14ac:dyDescent="0.2">
      <c r="A21" t="s">
        <v>475</v>
      </c>
      <c r="C21" t="s">
        <v>565</v>
      </c>
      <c r="D21" t="s">
        <v>476</v>
      </c>
      <c r="E21" t="s">
        <v>566</v>
      </c>
      <c r="F21" t="s">
        <v>567</v>
      </c>
      <c r="G21" t="s">
        <v>476</v>
      </c>
    </row>
    <row r="22" spans="1:7" x14ac:dyDescent="0.2">
      <c r="A22" t="s">
        <v>22</v>
      </c>
      <c r="C22" t="s">
        <v>568</v>
      </c>
      <c r="D22" t="s">
        <v>478</v>
      </c>
      <c r="E22" t="s">
        <v>569</v>
      </c>
      <c r="F22" t="s">
        <v>570</v>
      </c>
      <c r="G22" t="s">
        <v>478</v>
      </c>
    </row>
    <row r="24" spans="1:7" x14ac:dyDescent="0.2">
      <c r="A24" t="s">
        <v>479</v>
      </c>
    </row>
    <row r="25" spans="1:7" x14ac:dyDescent="0.2">
      <c r="A25" t="s">
        <v>13</v>
      </c>
      <c r="C25" t="s">
        <v>481</v>
      </c>
      <c r="D25" t="s">
        <v>481</v>
      </c>
      <c r="E25" t="s">
        <v>481</v>
      </c>
      <c r="F25" t="s">
        <v>571</v>
      </c>
      <c r="G25" t="s">
        <v>481</v>
      </c>
    </row>
    <row r="26" spans="1:7" x14ac:dyDescent="0.2">
      <c r="A26" t="s">
        <v>482</v>
      </c>
      <c r="C26" t="s">
        <v>572</v>
      </c>
      <c r="D26" t="s">
        <v>270</v>
      </c>
      <c r="E26" t="s">
        <v>270</v>
      </c>
      <c r="F26" t="s">
        <v>573</v>
      </c>
      <c r="G26" t="s">
        <v>230</v>
      </c>
    </row>
    <row r="27" spans="1:7" x14ac:dyDescent="0.2">
      <c r="A27" t="s">
        <v>574</v>
      </c>
      <c r="C27" t="s">
        <v>148</v>
      </c>
      <c r="D27" t="s">
        <v>148</v>
      </c>
      <c r="E27" t="s">
        <v>148</v>
      </c>
      <c r="F27" t="s">
        <v>120</v>
      </c>
      <c r="G27" t="s">
        <v>575</v>
      </c>
    </row>
    <row r="29" spans="1:7" x14ac:dyDescent="0.2">
      <c r="A29" t="s">
        <v>56</v>
      </c>
    </row>
    <row r="30" spans="1:7" x14ac:dyDescent="0.2">
      <c r="A30" t="s">
        <v>576</v>
      </c>
      <c r="C30" t="s">
        <v>577</v>
      </c>
      <c r="D30" t="s">
        <v>490</v>
      </c>
      <c r="E30" t="s">
        <v>578</v>
      </c>
      <c r="F30" t="s">
        <v>579</v>
      </c>
      <c r="G30" t="s">
        <v>490</v>
      </c>
    </row>
    <row r="31" spans="1:7" x14ac:dyDescent="0.2">
      <c r="A31" t="s">
        <v>580</v>
      </c>
      <c r="C31" t="s">
        <v>581</v>
      </c>
      <c r="D31" t="s">
        <v>493</v>
      </c>
      <c r="E31" t="s">
        <v>582</v>
      </c>
      <c r="F31" t="s">
        <v>493</v>
      </c>
      <c r="G31" t="s">
        <v>493</v>
      </c>
    </row>
    <row r="32" spans="1:7" x14ac:dyDescent="0.2">
      <c r="A32" t="s">
        <v>494</v>
      </c>
      <c r="C32" t="s">
        <v>481</v>
      </c>
      <c r="D32" t="s">
        <v>481</v>
      </c>
      <c r="E32" t="s">
        <v>481</v>
      </c>
      <c r="F32" t="s">
        <v>571</v>
      </c>
      <c r="G32" t="s">
        <v>481</v>
      </c>
    </row>
    <row r="34" spans="1:7" x14ac:dyDescent="0.2">
      <c r="A34" t="s">
        <v>583</v>
      </c>
    </row>
    <row r="35" spans="1:7" x14ac:dyDescent="0.2">
      <c r="A35" t="s">
        <v>584</v>
      </c>
      <c r="C35" t="s">
        <v>585</v>
      </c>
      <c r="D35" t="s">
        <v>585</v>
      </c>
      <c r="E35" t="s">
        <v>585</v>
      </c>
      <c r="F35" t="s">
        <v>586</v>
      </c>
      <c r="G35" t="s">
        <v>585</v>
      </c>
    </row>
    <row r="36" spans="1:7" x14ac:dyDescent="0.2">
      <c r="A36" t="s">
        <v>587</v>
      </c>
      <c r="C36" t="s">
        <v>588</v>
      </c>
      <c r="D36" t="s">
        <v>588</v>
      </c>
      <c r="E36" t="s">
        <v>588</v>
      </c>
      <c r="F36" t="s">
        <v>589</v>
      </c>
      <c r="G36" t="s">
        <v>588</v>
      </c>
    </row>
    <row r="37" spans="1:7" x14ac:dyDescent="0.2">
      <c r="A37" t="s">
        <v>590</v>
      </c>
      <c r="C37" t="s">
        <v>591</v>
      </c>
      <c r="D37" t="s">
        <v>591</v>
      </c>
      <c r="E37" t="s">
        <v>591</v>
      </c>
      <c r="F37" t="s">
        <v>592</v>
      </c>
      <c r="G37" t="s">
        <v>591</v>
      </c>
    </row>
    <row r="38" spans="1:7" x14ac:dyDescent="0.2">
      <c r="A38" t="s">
        <v>593</v>
      </c>
      <c r="C38" t="s">
        <v>594</v>
      </c>
      <c r="D38" t="s">
        <v>594</v>
      </c>
      <c r="E38" t="s">
        <v>594</v>
      </c>
      <c r="F38" t="s">
        <v>594</v>
      </c>
      <c r="G38" t="s">
        <v>594</v>
      </c>
    </row>
    <row r="40" spans="1:7" x14ac:dyDescent="0.2">
      <c r="A40" t="s">
        <v>595</v>
      </c>
    </row>
    <row r="41" spans="1:7" x14ac:dyDescent="0.2">
      <c r="A41" t="s">
        <v>596</v>
      </c>
      <c r="C41" t="s">
        <v>187</v>
      </c>
      <c r="D41" t="s">
        <v>187</v>
      </c>
      <c r="E41" t="s">
        <v>187</v>
      </c>
      <c r="F41" t="s">
        <v>597</v>
      </c>
      <c r="G41" t="s">
        <v>187</v>
      </c>
    </row>
    <row r="42" spans="1:7" x14ac:dyDescent="0.2">
      <c r="A42" t="s">
        <v>598</v>
      </c>
      <c r="C42" t="s">
        <v>267</v>
      </c>
      <c r="D42" t="s">
        <v>267</v>
      </c>
      <c r="E42" t="s">
        <v>267</v>
      </c>
      <c r="F42" t="s">
        <v>276</v>
      </c>
      <c r="G42" t="s">
        <v>267</v>
      </c>
    </row>
    <row r="43" spans="1:7" x14ac:dyDescent="0.2">
      <c r="A43" t="s">
        <v>599</v>
      </c>
      <c r="C43" t="s">
        <v>600</v>
      </c>
      <c r="D43" t="s">
        <v>600</v>
      </c>
      <c r="E43" t="s">
        <v>600</v>
      </c>
      <c r="F43" t="s">
        <v>601</v>
      </c>
      <c r="G43" t="s">
        <v>600</v>
      </c>
    </row>
    <row r="44" spans="1:7" x14ac:dyDescent="0.2">
      <c r="A44" t="s">
        <v>602</v>
      </c>
      <c r="C44" t="s">
        <v>603</v>
      </c>
      <c r="D44" t="s">
        <v>603</v>
      </c>
      <c r="E44" t="s">
        <v>603</v>
      </c>
      <c r="F44" t="s">
        <v>604</v>
      </c>
      <c r="G44" t="s">
        <v>603</v>
      </c>
    </row>
    <row r="46" spans="1:7" x14ac:dyDescent="0.2">
      <c r="A46" t="s">
        <v>605</v>
      </c>
    </row>
    <row r="47" spans="1:7" x14ac:dyDescent="0.2">
      <c r="A47" t="s">
        <v>229</v>
      </c>
      <c r="C47" t="s">
        <v>606</v>
      </c>
      <c r="D47" t="s">
        <v>607</v>
      </c>
      <c r="E47" t="s">
        <v>608</v>
      </c>
      <c r="F47" t="s">
        <v>609</v>
      </c>
      <c r="G47" t="s">
        <v>610</v>
      </c>
    </row>
    <row r="48" spans="1:7" x14ac:dyDescent="0.2">
      <c r="A48" t="s">
        <v>611</v>
      </c>
      <c r="C48" t="s">
        <v>612</v>
      </c>
      <c r="D48" t="s">
        <v>613</v>
      </c>
      <c r="E48" t="s">
        <v>614</v>
      </c>
      <c r="F48" t="s">
        <v>615</v>
      </c>
      <c r="G48" t="s">
        <v>613</v>
      </c>
    </row>
    <row r="49" spans="1:7" x14ac:dyDescent="0.2">
      <c r="A49" t="s">
        <v>616</v>
      </c>
      <c r="C49" t="s">
        <v>617</v>
      </c>
      <c r="D49" t="s">
        <v>618</v>
      </c>
      <c r="E49" t="s">
        <v>619</v>
      </c>
      <c r="F49" t="s">
        <v>618</v>
      </c>
      <c r="G49" t="s">
        <v>618</v>
      </c>
    </row>
    <row r="51" spans="1:7" x14ac:dyDescent="0.2">
      <c r="A51" t="s">
        <v>620</v>
      </c>
    </row>
    <row r="52" spans="1:7" x14ac:dyDescent="0.2">
      <c r="A52" t="s">
        <v>40</v>
      </c>
      <c r="B52" t="s">
        <v>536</v>
      </c>
      <c r="C52" t="s">
        <v>537</v>
      </c>
      <c r="D52" t="s">
        <v>538</v>
      </c>
      <c r="E52" t="s">
        <v>539</v>
      </c>
      <c r="F52" t="s">
        <v>540</v>
      </c>
    </row>
    <row r="53" spans="1:7" x14ac:dyDescent="0.2">
      <c r="A53" t="s">
        <v>621</v>
      </c>
      <c r="B53" t="s">
        <v>557</v>
      </c>
      <c r="C53" t="s">
        <v>390</v>
      </c>
      <c r="D53" t="s">
        <v>558</v>
      </c>
      <c r="E53" t="s">
        <v>390</v>
      </c>
      <c r="F53" t="s">
        <v>390</v>
      </c>
    </row>
    <row r="54" spans="1:7" x14ac:dyDescent="0.2">
      <c r="A54" t="s">
        <v>622</v>
      </c>
      <c r="B54" t="s">
        <v>559</v>
      </c>
      <c r="C54" t="s">
        <v>429</v>
      </c>
      <c r="D54" t="s">
        <v>560</v>
      </c>
      <c r="E54" t="s">
        <v>561</v>
      </c>
      <c r="F54" t="s">
        <v>429</v>
      </c>
    </row>
    <row r="55" spans="1:7" x14ac:dyDescent="0.2">
      <c r="A55" t="s">
        <v>623</v>
      </c>
      <c r="B55" t="s">
        <v>562</v>
      </c>
      <c r="C55" t="s">
        <v>460</v>
      </c>
      <c r="D55" t="s">
        <v>563</v>
      </c>
      <c r="E55" t="s">
        <v>564</v>
      </c>
      <c r="F55" t="s">
        <v>460</v>
      </c>
    </row>
    <row r="56" spans="1:7" x14ac:dyDescent="0.2">
      <c r="A56" t="s">
        <v>624</v>
      </c>
      <c r="B56" t="s">
        <v>565</v>
      </c>
      <c r="C56" t="s">
        <v>476</v>
      </c>
      <c r="D56" t="s">
        <v>566</v>
      </c>
      <c r="E56" t="s">
        <v>567</v>
      </c>
      <c r="F56" t="s">
        <v>476</v>
      </c>
    </row>
    <row r="58" spans="1:7" x14ac:dyDescent="0.2">
      <c r="A58" t="s">
        <v>625</v>
      </c>
    </row>
    <row r="59" spans="1:7" x14ac:dyDescent="0.2">
      <c r="A59" t="s">
        <v>626</v>
      </c>
      <c r="D59" t="s">
        <v>4</v>
      </c>
      <c r="E59" t="s">
        <v>41</v>
      </c>
      <c r="F59" t="s">
        <v>576</v>
      </c>
    </row>
    <row r="60" spans="1:7" x14ac:dyDescent="0.2">
      <c r="A60" t="s">
        <v>7</v>
      </c>
      <c r="D60" t="s">
        <v>519</v>
      </c>
    </row>
    <row r="61" spans="1:7" x14ac:dyDescent="0.2">
      <c r="A61" t="s">
        <v>548</v>
      </c>
      <c r="D61" t="s">
        <v>627</v>
      </c>
    </row>
    <row r="62" spans="1:7" x14ac:dyDescent="0.2">
      <c r="A62" t="s">
        <v>134</v>
      </c>
      <c r="D62" t="s">
        <v>628</v>
      </c>
    </row>
    <row r="63" spans="1:7" x14ac:dyDescent="0.2">
      <c r="A63" t="s">
        <v>629</v>
      </c>
      <c r="D63" t="s">
        <v>630</v>
      </c>
    </row>
    <row r="64" spans="1:7" x14ac:dyDescent="0.2">
      <c r="A64" t="s">
        <v>88</v>
      </c>
      <c r="D64" t="s">
        <v>90</v>
      </c>
    </row>
    <row r="65" spans="1:5" x14ac:dyDescent="0.2">
      <c r="A65" t="s">
        <v>631</v>
      </c>
      <c r="D65" t="s">
        <v>630</v>
      </c>
    </row>
    <row r="66" spans="1:5" x14ac:dyDescent="0.2">
      <c r="A66" t="s">
        <v>632</v>
      </c>
      <c r="D66" t="s">
        <v>633</v>
      </c>
    </row>
    <row r="67" spans="1:5" x14ac:dyDescent="0.2">
      <c r="A67" t="s">
        <v>634</v>
      </c>
      <c r="E67" t="s">
        <v>635</v>
      </c>
    </row>
    <row r="68" spans="1:5" x14ac:dyDescent="0.2">
      <c r="A68" t="s">
        <v>636</v>
      </c>
      <c r="E68" t="s">
        <v>637</v>
      </c>
    </row>
    <row r="70" spans="1:5" x14ac:dyDescent="0.2">
      <c r="A70" t="s">
        <v>638</v>
      </c>
    </row>
    <row r="71" spans="1:5" x14ac:dyDescent="0.2">
      <c r="A71" t="s">
        <v>639</v>
      </c>
      <c r="B71" t="s">
        <v>640</v>
      </c>
      <c r="C71" t="s">
        <v>41</v>
      </c>
      <c r="D71" t="s">
        <v>576</v>
      </c>
      <c r="E71" t="s">
        <v>183</v>
      </c>
    </row>
    <row r="72" spans="1:5" x14ac:dyDescent="0.2">
      <c r="A72" t="s">
        <v>641</v>
      </c>
      <c r="B72" t="s">
        <v>642</v>
      </c>
      <c r="C72" t="s">
        <v>568</v>
      </c>
      <c r="D72" t="s">
        <v>577</v>
      </c>
      <c r="E72" t="s">
        <v>603</v>
      </c>
    </row>
    <row r="73" spans="1:5" x14ac:dyDescent="0.2">
      <c r="A73" t="s">
        <v>158</v>
      </c>
      <c r="B73" t="s">
        <v>643</v>
      </c>
      <c r="C73" t="s">
        <v>478</v>
      </c>
      <c r="D73" t="s">
        <v>490</v>
      </c>
      <c r="E73" t="s">
        <v>603</v>
      </c>
    </row>
    <row r="74" spans="1:5" x14ac:dyDescent="0.2">
      <c r="A74" t="s">
        <v>575</v>
      </c>
      <c r="B74" t="s">
        <v>644</v>
      </c>
      <c r="C74" t="s">
        <v>569</v>
      </c>
      <c r="D74" t="s">
        <v>578</v>
      </c>
      <c r="E74" t="s">
        <v>603</v>
      </c>
    </row>
    <row r="75" spans="1:5" x14ac:dyDescent="0.2">
      <c r="A75" t="s">
        <v>148</v>
      </c>
      <c r="B75" t="s">
        <v>645</v>
      </c>
      <c r="C75" t="s">
        <v>570</v>
      </c>
      <c r="D75" t="s">
        <v>579</v>
      </c>
      <c r="E75" t="s">
        <v>604</v>
      </c>
    </row>
    <row r="77" spans="1:5" x14ac:dyDescent="0.2">
      <c r="A77" t="s">
        <v>646</v>
      </c>
    </row>
    <row r="78" spans="1:5" x14ac:dyDescent="0.2">
      <c r="A78" t="s">
        <v>639</v>
      </c>
      <c r="B78" t="s">
        <v>640</v>
      </c>
      <c r="C78" t="s">
        <v>647</v>
      </c>
      <c r="D78" t="s">
        <v>183</v>
      </c>
      <c r="E78" t="s">
        <v>648</v>
      </c>
    </row>
    <row r="79" spans="1:5" x14ac:dyDescent="0.2">
      <c r="A79" t="s">
        <v>641</v>
      </c>
      <c r="B79" t="s">
        <v>649</v>
      </c>
      <c r="C79" t="s">
        <v>481</v>
      </c>
      <c r="D79" t="s">
        <v>650</v>
      </c>
      <c r="E79" t="s">
        <v>651</v>
      </c>
    </row>
    <row r="80" spans="1:5" x14ac:dyDescent="0.2">
      <c r="A80" t="s">
        <v>158</v>
      </c>
      <c r="B80" t="s">
        <v>652</v>
      </c>
      <c r="C80" t="s">
        <v>481</v>
      </c>
      <c r="D80" t="s">
        <v>650</v>
      </c>
      <c r="E80" t="s">
        <v>651</v>
      </c>
    </row>
    <row r="81" spans="1:5" x14ac:dyDescent="0.2">
      <c r="A81" t="s">
        <v>575</v>
      </c>
      <c r="B81" t="s">
        <v>642</v>
      </c>
      <c r="C81" t="s">
        <v>481</v>
      </c>
      <c r="D81" t="s">
        <v>650</v>
      </c>
      <c r="E81" t="s">
        <v>653</v>
      </c>
    </row>
    <row r="82" spans="1:5" x14ac:dyDescent="0.2">
      <c r="A82" t="s">
        <v>148</v>
      </c>
      <c r="B82" t="s">
        <v>644</v>
      </c>
      <c r="C82" t="s">
        <v>481</v>
      </c>
      <c r="D82" t="s">
        <v>650</v>
      </c>
      <c r="E82" t="s">
        <v>653</v>
      </c>
    </row>
    <row r="83" spans="1:5" x14ac:dyDescent="0.2">
      <c r="A83" t="s">
        <v>654</v>
      </c>
      <c r="B83" t="s">
        <v>645</v>
      </c>
      <c r="C83" t="s">
        <v>571</v>
      </c>
      <c r="D83" t="s">
        <v>655</v>
      </c>
      <c r="E83" t="s">
        <v>656</v>
      </c>
    </row>
    <row r="85" spans="1:5" x14ac:dyDescent="0.2">
      <c r="A85" t="s">
        <v>657</v>
      </c>
    </row>
    <row r="86" spans="1:5" x14ac:dyDescent="0.2">
      <c r="A86" t="s">
        <v>658</v>
      </c>
    </row>
    <row r="87" spans="1:5" x14ac:dyDescent="0.2">
      <c r="A87" t="s">
        <v>659</v>
      </c>
    </row>
    <row r="88" spans="1:5" x14ac:dyDescent="0.2">
      <c r="A88" t="s">
        <v>660</v>
      </c>
    </row>
    <row r="89" spans="1:5" x14ac:dyDescent="0.2">
      <c r="A89" t="s">
        <v>661</v>
      </c>
    </row>
    <row r="90" spans="1:5" x14ac:dyDescent="0.2">
      <c r="A90" t="s">
        <v>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8"/>
  <sheetViews>
    <sheetView topLeftCell="A3" zoomScale="120" zoomScaleNormal="120" workbookViewId="0"/>
  </sheetViews>
  <sheetFormatPr baseColWidth="10" defaultColWidth="8.83203125" defaultRowHeight="15" x14ac:dyDescent="0.2"/>
  <cols>
    <col min="1" max="3" width="50" customWidth="1"/>
    <col min="4" max="4" width="39" customWidth="1"/>
    <col min="5" max="5" width="17" customWidth="1"/>
    <col min="6" max="6" width="45" customWidth="1"/>
    <col min="7" max="8" width="23" customWidth="1"/>
    <col min="9" max="9" width="26" customWidth="1"/>
    <col min="10" max="10" width="24" customWidth="1"/>
    <col min="11" max="11" width="6" customWidth="1"/>
  </cols>
  <sheetData>
    <row r="1" spans="1:10" x14ac:dyDescent="0.2">
      <c r="A1" t="s">
        <v>663</v>
      </c>
    </row>
    <row r="2" spans="1:10" x14ac:dyDescent="0.2">
      <c r="A2" t="s">
        <v>664</v>
      </c>
    </row>
    <row r="4" spans="1:10" x14ac:dyDescent="0.2">
      <c r="A4" t="s">
        <v>665</v>
      </c>
    </row>
    <row r="5" spans="1:10" x14ac:dyDescent="0.2">
      <c r="A5" t="s">
        <v>666</v>
      </c>
      <c r="B5" t="s">
        <v>667</v>
      </c>
      <c r="C5" t="s">
        <v>668</v>
      </c>
      <c r="D5" t="s">
        <v>669</v>
      </c>
    </row>
    <row r="6" spans="1:10" x14ac:dyDescent="0.2">
      <c r="A6" t="s">
        <v>670</v>
      </c>
      <c r="B6" t="s">
        <v>671</v>
      </c>
      <c r="C6" t="s">
        <v>672</v>
      </c>
      <c r="D6" t="s">
        <v>673</v>
      </c>
    </row>
    <row r="7" spans="1:10" x14ac:dyDescent="0.2">
      <c r="A7" t="s">
        <v>674</v>
      </c>
      <c r="B7" t="s">
        <v>675</v>
      </c>
      <c r="C7" t="s">
        <v>676</v>
      </c>
      <c r="D7" t="s">
        <v>677</v>
      </c>
    </row>
    <row r="8" spans="1:10" x14ac:dyDescent="0.2">
      <c r="A8" t="s">
        <v>678</v>
      </c>
      <c r="B8" t="s">
        <v>679</v>
      </c>
      <c r="C8" t="s">
        <v>680</v>
      </c>
      <c r="D8" t="s">
        <v>681</v>
      </c>
    </row>
    <row r="9" spans="1:10" x14ac:dyDescent="0.2">
      <c r="A9" t="s">
        <v>682</v>
      </c>
      <c r="B9" t="s">
        <v>683</v>
      </c>
      <c r="C9" t="s">
        <v>684</v>
      </c>
      <c r="D9" t="s">
        <v>685</v>
      </c>
    </row>
    <row r="11" spans="1:10" x14ac:dyDescent="0.2">
      <c r="A11" t="s">
        <v>686</v>
      </c>
    </row>
    <row r="12" spans="1:10" x14ac:dyDescent="0.2">
      <c r="A12" t="s">
        <v>57</v>
      </c>
      <c r="B12" t="s">
        <v>58</v>
      </c>
      <c r="C12" t="s">
        <v>59</v>
      </c>
      <c r="D12" t="s">
        <v>687</v>
      </c>
      <c r="E12" t="s">
        <v>688</v>
      </c>
      <c r="F12" t="s">
        <v>689</v>
      </c>
      <c r="G12" t="s">
        <v>690</v>
      </c>
      <c r="H12" t="s">
        <v>691</v>
      </c>
      <c r="I12" t="s">
        <v>692</v>
      </c>
      <c r="J12" t="s">
        <v>61</v>
      </c>
    </row>
    <row r="13" spans="1:10" x14ac:dyDescent="0.2">
      <c r="A13" t="s">
        <v>693</v>
      </c>
      <c r="B13" t="s">
        <v>478</v>
      </c>
      <c r="C13" t="s">
        <v>32</v>
      </c>
      <c r="D13" t="s">
        <v>32</v>
      </c>
      <c r="E13" t="s">
        <v>33</v>
      </c>
      <c r="F13" t="s">
        <v>694</v>
      </c>
      <c r="G13" t="s">
        <v>8</v>
      </c>
      <c r="H13" t="s">
        <v>32</v>
      </c>
      <c r="I13" t="s">
        <v>481</v>
      </c>
      <c r="J13" t="s">
        <v>695</v>
      </c>
    </row>
    <row r="14" spans="1:10" x14ac:dyDescent="0.2">
      <c r="A14" t="s">
        <v>696</v>
      </c>
      <c r="B14" t="s">
        <v>478</v>
      </c>
      <c r="C14" t="s">
        <v>32</v>
      </c>
      <c r="D14" t="s">
        <v>32</v>
      </c>
      <c r="E14" t="s">
        <v>33</v>
      </c>
      <c r="F14" t="s">
        <v>694</v>
      </c>
      <c r="G14" t="s">
        <v>8</v>
      </c>
      <c r="H14" t="s">
        <v>32</v>
      </c>
      <c r="I14" t="s">
        <v>481</v>
      </c>
      <c r="J14" t="s">
        <v>695</v>
      </c>
    </row>
    <row r="15" spans="1:10" x14ac:dyDescent="0.2">
      <c r="A15" t="s">
        <v>697</v>
      </c>
      <c r="B15" t="s">
        <v>478</v>
      </c>
      <c r="C15" t="s">
        <v>32</v>
      </c>
      <c r="D15" t="s">
        <v>32</v>
      </c>
      <c r="E15" t="s">
        <v>33</v>
      </c>
      <c r="F15" t="s">
        <v>694</v>
      </c>
      <c r="G15" t="s">
        <v>8</v>
      </c>
      <c r="H15" t="s">
        <v>32</v>
      </c>
      <c r="I15" t="s">
        <v>481</v>
      </c>
      <c r="J15" t="s">
        <v>695</v>
      </c>
    </row>
    <row r="16" spans="1:10" x14ac:dyDescent="0.2">
      <c r="A16" t="s">
        <v>698</v>
      </c>
      <c r="B16" t="s">
        <v>478</v>
      </c>
      <c r="C16" t="s">
        <v>32</v>
      </c>
      <c r="D16" t="s">
        <v>32</v>
      </c>
      <c r="E16" t="s">
        <v>33</v>
      </c>
      <c r="F16" t="s">
        <v>694</v>
      </c>
      <c r="G16" t="s">
        <v>8</v>
      </c>
      <c r="H16" t="s">
        <v>32</v>
      </c>
      <c r="I16" t="s">
        <v>481</v>
      </c>
      <c r="J16" t="s">
        <v>695</v>
      </c>
    </row>
    <row r="17" spans="1:10" x14ac:dyDescent="0.2">
      <c r="A17" t="s">
        <v>699</v>
      </c>
      <c r="B17" t="s">
        <v>478</v>
      </c>
      <c r="C17" t="s">
        <v>32</v>
      </c>
      <c r="D17" t="s">
        <v>32</v>
      </c>
      <c r="E17" t="s">
        <v>33</v>
      </c>
      <c r="F17" t="s">
        <v>694</v>
      </c>
      <c r="G17" t="s">
        <v>8</v>
      </c>
      <c r="H17" t="s">
        <v>32</v>
      </c>
      <c r="I17" t="s">
        <v>481</v>
      </c>
      <c r="J17" t="s">
        <v>695</v>
      </c>
    </row>
    <row r="18" spans="1:10" x14ac:dyDescent="0.2">
      <c r="A18" t="s">
        <v>700</v>
      </c>
      <c r="B18" t="s">
        <v>478</v>
      </c>
      <c r="C18" t="s">
        <v>32</v>
      </c>
      <c r="D18" t="s">
        <v>32</v>
      </c>
      <c r="E18" t="s">
        <v>33</v>
      </c>
      <c r="F18" t="s">
        <v>694</v>
      </c>
      <c r="G18" t="s">
        <v>8</v>
      </c>
      <c r="H18" t="s">
        <v>32</v>
      </c>
      <c r="I18" t="s">
        <v>481</v>
      </c>
      <c r="J18" t="s">
        <v>695</v>
      </c>
    </row>
    <row r="19" spans="1:10" x14ac:dyDescent="0.2">
      <c r="A19" t="s">
        <v>701</v>
      </c>
      <c r="B19" t="s">
        <v>478</v>
      </c>
      <c r="C19" t="s">
        <v>32</v>
      </c>
      <c r="D19" t="s">
        <v>32</v>
      </c>
      <c r="E19" t="s">
        <v>33</v>
      </c>
      <c r="F19" t="s">
        <v>694</v>
      </c>
      <c r="G19" t="s">
        <v>8</v>
      </c>
      <c r="H19" t="s">
        <v>32</v>
      </c>
      <c r="I19" t="s">
        <v>481</v>
      </c>
      <c r="J19" t="s">
        <v>695</v>
      </c>
    </row>
    <row r="20" spans="1:10" x14ac:dyDescent="0.2">
      <c r="A20" t="s">
        <v>702</v>
      </c>
      <c r="B20" t="s">
        <v>478</v>
      </c>
      <c r="C20" t="s">
        <v>32</v>
      </c>
      <c r="D20" t="s">
        <v>32</v>
      </c>
      <c r="E20" t="s">
        <v>33</v>
      </c>
      <c r="F20" t="s">
        <v>694</v>
      </c>
      <c r="G20" t="s">
        <v>8</v>
      </c>
      <c r="H20" t="s">
        <v>32</v>
      </c>
      <c r="I20" t="s">
        <v>481</v>
      </c>
      <c r="J20" t="s">
        <v>695</v>
      </c>
    </row>
    <row r="21" spans="1:10" x14ac:dyDescent="0.2">
      <c r="A21" t="s">
        <v>703</v>
      </c>
      <c r="B21" t="s">
        <v>478</v>
      </c>
      <c r="C21" t="s">
        <v>32</v>
      </c>
      <c r="D21" t="s">
        <v>32</v>
      </c>
      <c r="E21" t="s">
        <v>33</v>
      </c>
      <c r="F21" t="s">
        <v>694</v>
      </c>
      <c r="G21" t="s">
        <v>8</v>
      </c>
      <c r="H21" t="s">
        <v>32</v>
      </c>
      <c r="I21" t="s">
        <v>481</v>
      </c>
      <c r="J21" t="s">
        <v>695</v>
      </c>
    </row>
    <row r="22" spans="1:10" x14ac:dyDescent="0.2">
      <c r="A22" t="s">
        <v>704</v>
      </c>
      <c r="B22" t="s">
        <v>478</v>
      </c>
      <c r="C22" t="s">
        <v>32</v>
      </c>
      <c r="D22" t="s">
        <v>32</v>
      </c>
      <c r="E22" t="s">
        <v>33</v>
      </c>
      <c r="F22" t="s">
        <v>694</v>
      </c>
      <c r="G22" t="s">
        <v>8</v>
      </c>
      <c r="H22" t="s">
        <v>32</v>
      </c>
      <c r="I22" t="s">
        <v>481</v>
      </c>
      <c r="J22" t="s">
        <v>695</v>
      </c>
    </row>
    <row r="23" spans="1:10" x14ac:dyDescent="0.2">
      <c r="A23" t="s">
        <v>705</v>
      </c>
      <c r="B23" t="s">
        <v>478</v>
      </c>
      <c r="C23" t="s">
        <v>32</v>
      </c>
      <c r="D23" t="s">
        <v>32</v>
      </c>
      <c r="E23" t="s">
        <v>33</v>
      </c>
      <c r="F23" t="s">
        <v>694</v>
      </c>
      <c r="G23" t="s">
        <v>8</v>
      </c>
      <c r="H23" t="s">
        <v>32</v>
      </c>
      <c r="I23" t="s">
        <v>481</v>
      </c>
      <c r="J23" t="s">
        <v>695</v>
      </c>
    </row>
    <row r="24" spans="1:10" x14ac:dyDescent="0.2">
      <c r="A24" t="s">
        <v>706</v>
      </c>
      <c r="B24" t="s">
        <v>478</v>
      </c>
      <c r="C24" t="s">
        <v>32</v>
      </c>
      <c r="D24" t="s">
        <v>32</v>
      </c>
      <c r="E24" t="s">
        <v>33</v>
      </c>
      <c r="F24" t="s">
        <v>694</v>
      </c>
      <c r="G24" t="s">
        <v>8</v>
      </c>
      <c r="H24" t="s">
        <v>32</v>
      </c>
      <c r="I24" t="s">
        <v>481</v>
      </c>
      <c r="J24" t="s">
        <v>695</v>
      </c>
    </row>
    <row r="26" spans="1:10" x14ac:dyDescent="0.2">
      <c r="A26" t="s">
        <v>707</v>
      </c>
      <c r="F26" t="s">
        <v>310</v>
      </c>
      <c r="G26" t="s">
        <v>311</v>
      </c>
    </row>
    <row r="27" spans="1:10" x14ac:dyDescent="0.2">
      <c r="A27" t="s">
        <v>708</v>
      </c>
      <c r="G27" t="s">
        <v>478</v>
      </c>
    </row>
    <row r="28" spans="1:10" x14ac:dyDescent="0.2">
      <c r="A28" t="s">
        <v>709</v>
      </c>
      <c r="F28">
        <f>SUM(C13:C24)</f>
        <v>0</v>
      </c>
      <c r="G28" t="s">
        <v>32</v>
      </c>
    </row>
    <row r="29" spans="1:10" x14ac:dyDescent="0.2">
      <c r="A29" t="s">
        <v>710</v>
      </c>
      <c r="F29">
        <f>C30-C29</f>
        <v>0</v>
      </c>
      <c r="G29" t="s">
        <v>711</v>
      </c>
    </row>
    <row r="30" spans="1:10" x14ac:dyDescent="0.2">
      <c r="A30" t="s">
        <v>712</v>
      </c>
      <c r="F30" t="e">
        <f>AVERAGE(E13:E24)</f>
        <v>#DIV/0!</v>
      </c>
      <c r="G30" t="s">
        <v>33</v>
      </c>
    </row>
    <row r="31" spans="1:10" x14ac:dyDescent="0.2">
      <c r="A31" t="s">
        <v>713</v>
      </c>
      <c r="F31" t="e">
        <f>100% - ABS(average variance %)</f>
        <v>#NAME?</v>
      </c>
      <c r="G31" t="s">
        <v>54</v>
      </c>
    </row>
    <row r="33" spans="1:8" x14ac:dyDescent="0.2">
      <c r="A33" t="s">
        <v>714</v>
      </c>
    </row>
    <row r="34" spans="1:8" x14ac:dyDescent="0.2">
      <c r="A34" t="s">
        <v>40</v>
      </c>
      <c r="B34" t="s">
        <v>715</v>
      </c>
      <c r="C34" t="s">
        <v>716</v>
      </c>
      <c r="D34" t="s">
        <v>687</v>
      </c>
      <c r="E34" t="s">
        <v>688</v>
      </c>
      <c r="F34" t="s">
        <v>717</v>
      </c>
    </row>
    <row r="35" spans="1:8" x14ac:dyDescent="0.2">
      <c r="A35" t="s">
        <v>463</v>
      </c>
      <c r="B35" t="s">
        <v>390</v>
      </c>
      <c r="C35" t="s">
        <v>32</v>
      </c>
      <c r="D35" t="s">
        <v>32</v>
      </c>
      <c r="E35" t="s">
        <v>33</v>
      </c>
      <c r="F35" t="s">
        <v>718</v>
      </c>
    </row>
    <row r="36" spans="1:8" x14ac:dyDescent="0.2">
      <c r="A36" t="s">
        <v>466</v>
      </c>
      <c r="B36" t="s">
        <v>429</v>
      </c>
      <c r="C36" t="s">
        <v>32</v>
      </c>
      <c r="D36" t="s">
        <v>32</v>
      </c>
      <c r="E36" t="s">
        <v>33</v>
      </c>
      <c r="F36" t="s">
        <v>719</v>
      </c>
    </row>
    <row r="37" spans="1:8" x14ac:dyDescent="0.2">
      <c r="A37" t="s">
        <v>469</v>
      </c>
      <c r="B37" t="s">
        <v>460</v>
      </c>
      <c r="C37" t="s">
        <v>32</v>
      </c>
      <c r="D37" t="s">
        <v>32</v>
      </c>
      <c r="E37" t="s">
        <v>33</v>
      </c>
      <c r="F37" t="s">
        <v>720</v>
      </c>
    </row>
    <row r="38" spans="1:8" x14ac:dyDescent="0.2">
      <c r="A38" t="s">
        <v>153</v>
      </c>
      <c r="B38" t="s">
        <v>476</v>
      </c>
      <c r="C38" t="s">
        <v>32</v>
      </c>
      <c r="D38" t="s">
        <v>32</v>
      </c>
      <c r="E38" t="s">
        <v>33</v>
      </c>
      <c r="F38" t="s">
        <v>721</v>
      </c>
    </row>
    <row r="39" spans="1:8" x14ac:dyDescent="0.2">
      <c r="A39" t="s">
        <v>53</v>
      </c>
      <c r="B39" t="s">
        <v>478</v>
      </c>
      <c r="C39" t="s">
        <v>32</v>
      </c>
      <c r="D39" t="s">
        <v>32</v>
      </c>
      <c r="E39" t="s">
        <v>33</v>
      </c>
      <c r="F39" t="s">
        <v>722</v>
      </c>
    </row>
    <row r="41" spans="1:8" x14ac:dyDescent="0.2">
      <c r="A41" t="s">
        <v>723</v>
      </c>
    </row>
    <row r="42" spans="1:8" x14ac:dyDescent="0.2">
      <c r="A42" t="s">
        <v>724</v>
      </c>
      <c r="B42" t="s">
        <v>58</v>
      </c>
      <c r="C42" t="s">
        <v>59</v>
      </c>
      <c r="D42" t="s">
        <v>687</v>
      </c>
      <c r="E42" t="s">
        <v>688</v>
      </c>
      <c r="F42" t="s">
        <v>725</v>
      </c>
      <c r="G42" t="s">
        <v>691</v>
      </c>
      <c r="H42" t="s">
        <v>61</v>
      </c>
    </row>
    <row r="43" spans="1:8" x14ac:dyDescent="0.2">
      <c r="A43" t="s">
        <v>359</v>
      </c>
      <c r="B43" t="s">
        <v>726</v>
      </c>
      <c r="C43" t="s">
        <v>32</v>
      </c>
      <c r="D43" t="s">
        <v>32</v>
      </c>
      <c r="E43" t="s">
        <v>33</v>
      </c>
      <c r="F43" t="s">
        <v>694</v>
      </c>
      <c r="G43" t="s">
        <v>32</v>
      </c>
      <c r="H43" t="s">
        <v>727</v>
      </c>
    </row>
    <row r="44" spans="1:8" x14ac:dyDescent="0.2">
      <c r="A44" t="s">
        <v>728</v>
      </c>
      <c r="B44" t="s">
        <v>726</v>
      </c>
      <c r="C44" t="s">
        <v>32</v>
      </c>
      <c r="D44" t="s">
        <v>32</v>
      </c>
      <c r="E44" t="s">
        <v>33</v>
      </c>
      <c r="F44" t="s">
        <v>694</v>
      </c>
      <c r="G44" t="s">
        <v>32</v>
      </c>
      <c r="H44" t="s">
        <v>727</v>
      </c>
    </row>
    <row r="45" spans="1:8" x14ac:dyDescent="0.2">
      <c r="A45" t="s">
        <v>729</v>
      </c>
      <c r="B45" t="s">
        <v>726</v>
      </c>
      <c r="C45" t="s">
        <v>32</v>
      </c>
      <c r="D45" t="s">
        <v>32</v>
      </c>
      <c r="E45" t="s">
        <v>33</v>
      </c>
      <c r="F45" t="s">
        <v>694</v>
      </c>
      <c r="G45" t="s">
        <v>32</v>
      </c>
      <c r="H45" t="s">
        <v>727</v>
      </c>
    </row>
    <row r="46" spans="1:8" x14ac:dyDescent="0.2">
      <c r="A46" t="s">
        <v>730</v>
      </c>
      <c r="B46" t="s">
        <v>726</v>
      </c>
      <c r="C46" t="s">
        <v>32</v>
      </c>
      <c r="D46" t="s">
        <v>32</v>
      </c>
      <c r="E46" t="s">
        <v>33</v>
      </c>
      <c r="F46" t="s">
        <v>694</v>
      </c>
      <c r="G46" t="s">
        <v>32</v>
      </c>
      <c r="H46" t="s">
        <v>727</v>
      </c>
    </row>
    <row r="47" spans="1:8" x14ac:dyDescent="0.2">
      <c r="A47" t="s">
        <v>731</v>
      </c>
      <c r="B47" t="s">
        <v>726</v>
      </c>
      <c r="C47" t="s">
        <v>32</v>
      </c>
      <c r="D47" t="s">
        <v>32</v>
      </c>
      <c r="E47" t="s">
        <v>33</v>
      </c>
      <c r="F47" t="s">
        <v>694</v>
      </c>
      <c r="G47" t="s">
        <v>32</v>
      </c>
      <c r="H47" t="s">
        <v>727</v>
      </c>
    </row>
    <row r="48" spans="1:8" x14ac:dyDescent="0.2">
      <c r="A48" t="s">
        <v>732</v>
      </c>
      <c r="B48" t="s">
        <v>726</v>
      </c>
      <c r="C48" t="s">
        <v>32</v>
      </c>
      <c r="D48" t="s">
        <v>32</v>
      </c>
      <c r="E48" t="s">
        <v>33</v>
      </c>
      <c r="F48" t="s">
        <v>694</v>
      </c>
      <c r="G48" t="s">
        <v>32</v>
      </c>
      <c r="H48" t="s">
        <v>727</v>
      </c>
    </row>
    <row r="49" spans="1:8" x14ac:dyDescent="0.2">
      <c r="A49" t="s">
        <v>733</v>
      </c>
      <c r="B49" t="s">
        <v>726</v>
      </c>
      <c r="C49" t="s">
        <v>32</v>
      </c>
      <c r="D49" t="s">
        <v>32</v>
      </c>
      <c r="E49" t="s">
        <v>33</v>
      </c>
      <c r="F49" t="s">
        <v>694</v>
      </c>
      <c r="G49" t="s">
        <v>32</v>
      </c>
      <c r="H49" t="s">
        <v>727</v>
      </c>
    </row>
    <row r="50" spans="1:8" x14ac:dyDescent="0.2">
      <c r="A50" t="s">
        <v>734</v>
      </c>
      <c r="B50" t="s">
        <v>726</v>
      </c>
      <c r="C50" t="s">
        <v>32</v>
      </c>
      <c r="D50" t="s">
        <v>32</v>
      </c>
      <c r="E50" t="s">
        <v>33</v>
      </c>
      <c r="F50" t="s">
        <v>694</v>
      </c>
      <c r="G50" t="s">
        <v>32</v>
      </c>
      <c r="H50" t="s">
        <v>727</v>
      </c>
    </row>
    <row r="51" spans="1:8" x14ac:dyDescent="0.2">
      <c r="A51" t="s">
        <v>735</v>
      </c>
      <c r="B51" t="s">
        <v>726</v>
      </c>
      <c r="C51" t="s">
        <v>32</v>
      </c>
      <c r="D51" t="s">
        <v>32</v>
      </c>
      <c r="E51" t="s">
        <v>33</v>
      </c>
      <c r="F51" t="s">
        <v>694</v>
      </c>
      <c r="G51" t="s">
        <v>32</v>
      </c>
      <c r="H51" t="s">
        <v>727</v>
      </c>
    </row>
    <row r="52" spans="1:8" x14ac:dyDescent="0.2">
      <c r="A52" t="s">
        <v>736</v>
      </c>
      <c r="B52" t="s">
        <v>726</v>
      </c>
      <c r="C52" t="s">
        <v>32</v>
      </c>
      <c r="D52" t="s">
        <v>32</v>
      </c>
      <c r="E52" t="s">
        <v>33</v>
      </c>
      <c r="F52" t="s">
        <v>694</v>
      </c>
      <c r="G52" t="s">
        <v>32</v>
      </c>
      <c r="H52" t="s">
        <v>727</v>
      </c>
    </row>
    <row r="53" spans="1:8" x14ac:dyDescent="0.2">
      <c r="A53" t="s">
        <v>737</v>
      </c>
      <c r="B53" t="s">
        <v>726</v>
      </c>
      <c r="C53" t="s">
        <v>32</v>
      </c>
      <c r="D53" t="s">
        <v>32</v>
      </c>
      <c r="E53" t="s">
        <v>33</v>
      </c>
      <c r="F53" t="s">
        <v>694</v>
      </c>
      <c r="G53" t="s">
        <v>32</v>
      </c>
      <c r="H53" t="s">
        <v>727</v>
      </c>
    </row>
    <row r="54" spans="1:8" x14ac:dyDescent="0.2">
      <c r="A54" t="s">
        <v>738</v>
      </c>
      <c r="B54" t="s">
        <v>726</v>
      </c>
      <c r="C54" t="s">
        <v>32</v>
      </c>
      <c r="D54" t="s">
        <v>32</v>
      </c>
      <c r="E54" t="s">
        <v>33</v>
      </c>
      <c r="F54" t="s">
        <v>694</v>
      </c>
      <c r="G54" t="s">
        <v>32</v>
      </c>
      <c r="H54" t="s">
        <v>727</v>
      </c>
    </row>
    <row r="56" spans="1:8" x14ac:dyDescent="0.2">
      <c r="A56" t="s">
        <v>739</v>
      </c>
    </row>
    <row r="57" spans="1:8" x14ac:dyDescent="0.2">
      <c r="A57" t="s">
        <v>740</v>
      </c>
      <c r="B57" t="s">
        <v>741</v>
      </c>
      <c r="C57" t="s">
        <v>61</v>
      </c>
    </row>
    <row r="58" spans="1:8" x14ac:dyDescent="0.2">
      <c r="A58" t="s">
        <v>742</v>
      </c>
      <c r="B58" t="s">
        <v>743</v>
      </c>
      <c r="C58" t="s">
        <v>744</v>
      </c>
    </row>
    <row r="59" spans="1:8" x14ac:dyDescent="0.2">
      <c r="A59" t="s">
        <v>745</v>
      </c>
      <c r="B59" t="s">
        <v>746</v>
      </c>
      <c r="C59" t="s">
        <v>747</v>
      </c>
    </row>
    <row r="60" spans="1:8" x14ac:dyDescent="0.2">
      <c r="A60" t="s">
        <v>748</v>
      </c>
      <c r="B60" t="s">
        <v>749</v>
      </c>
      <c r="C60" t="s">
        <v>750</v>
      </c>
    </row>
    <row r="61" spans="1:8" x14ac:dyDescent="0.2">
      <c r="A61" t="s">
        <v>751</v>
      </c>
      <c r="B61" t="s">
        <v>752</v>
      </c>
      <c r="C61" t="s">
        <v>753</v>
      </c>
    </row>
    <row r="62" spans="1:8" x14ac:dyDescent="0.2">
      <c r="A62" t="s">
        <v>754</v>
      </c>
      <c r="B62" t="s">
        <v>755</v>
      </c>
      <c r="C62" t="s">
        <v>756</v>
      </c>
    </row>
    <row r="63" spans="1:8" x14ac:dyDescent="0.2">
      <c r="A63" t="s">
        <v>757</v>
      </c>
      <c r="B63" t="s">
        <v>758</v>
      </c>
      <c r="C63" t="s">
        <v>759</v>
      </c>
    </row>
    <row r="65" spans="1:4" x14ac:dyDescent="0.2">
      <c r="A65" t="s">
        <v>760</v>
      </c>
    </row>
    <row r="66" spans="1:4" x14ac:dyDescent="0.2">
      <c r="A66" t="s">
        <v>761</v>
      </c>
      <c r="B66" t="s">
        <v>762</v>
      </c>
      <c r="C66" t="s">
        <v>763</v>
      </c>
      <c r="D66" t="s">
        <v>764</v>
      </c>
    </row>
    <row r="67" spans="1:4" x14ac:dyDescent="0.2">
      <c r="A67" t="s">
        <v>765</v>
      </c>
      <c r="B67" t="s">
        <v>766</v>
      </c>
      <c r="C67" t="s">
        <v>767</v>
      </c>
      <c r="D67" t="s">
        <v>768</v>
      </c>
    </row>
    <row r="68" spans="1:4" x14ac:dyDescent="0.2">
      <c r="A68" t="s">
        <v>769</v>
      </c>
      <c r="B68" t="s">
        <v>770</v>
      </c>
      <c r="C68" t="s">
        <v>771</v>
      </c>
      <c r="D68" t="s">
        <v>772</v>
      </c>
    </row>
    <row r="69" spans="1:4" x14ac:dyDescent="0.2">
      <c r="A69" t="s">
        <v>773</v>
      </c>
      <c r="B69" t="s">
        <v>774</v>
      </c>
      <c r="C69" t="s">
        <v>775</v>
      </c>
      <c r="D69" t="s">
        <v>776</v>
      </c>
    </row>
    <row r="70" spans="1:4" x14ac:dyDescent="0.2">
      <c r="A70" t="s">
        <v>777</v>
      </c>
      <c r="B70" t="s">
        <v>778</v>
      </c>
      <c r="C70" t="s">
        <v>779</v>
      </c>
      <c r="D70" t="s">
        <v>780</v>
      </c>
    </row>
    <row r="71" spans="1:4" x14ac:dyDescent="0.2">
      <c r="A71" t="s">
        <v>781</v>
      </c>
      <c r="B71" t="s">
        <v>782</v>
      </c>
      <c r="C71" t="s">
        <v>783</v>
      </c>
      <c r="D71" t="s">
        <v>784</v>
      </c>
    </row>
    <row r="72" spans="1:4" x14ac:dyDescent="0.2">
      <c r="A72" t="s">
        <v>785</v>
      </c>
      <c r="B72" t="s">
        <v>786</v>
      </c>
      <c r="C72" t="s">
        <v>787</v>
      </c>
      <c r="D72" t="s">
        <v>788</v>
      </c>
    </row>
    <row r="74" spans="1:4" x14ac:dyDescent="0.2">
      <c r="A74" t="s">
        <v>789</v>
      </c>
    </row>
    <row r="75" spans="1:4" x14ac:dyDescent="0.2">
      <c r="A75" t="s">
        <v>790</v>
      </c>
      <c r="B75" t="s">
        <v>791</v>
      </c>
      <c r="C75" t="s">
        <v>792</v>
      </c>
    </row>
    <row r="76" spans="1:4" x14ac:dyDescent="0.2">
      <c r="A76" t="s">
        <v>793</v>
      </c>
      <c r="B76" t="s">
        <v>794</v>
      </c>
      <c r="C76" t="s">
        <v>795</v>
      </c>
    </row>
    <row r="77" spans="1:4" x14ac:dyDescent="0.2">
      <c r="A77" t="s">
        <v>796</v>
      </c>
      <c r="B77" t="s">
        <v>797</v>
      </c>
      <c r="C77" t="s">
        <v>798</v>
      </c>
    </row>
    <row r="78" spans="1:4" x14ac:dyDescent="0.2">
      <c r="A78" t="s">
        <v>799</v>
      </c>
      <c r="B78" t="s">
        <v>800</v>
      </c>
      <c r="C78" t="s">
        <v>795</v>
      </c>
    </row>
    <row r="79" spans="1:4" x14ac:dyDescent="0.2">
      <c r="A79" t="s">
        <v>801</v>
      </c>
      <c r="B79" t="s">
        <v>802</v>
      </c>
      <c r="C79" t="s">
        <v>803</v>
      </c>
    </row>
    <row r="80" spans="1:4" x14ac:dyDescent="0.2">
      <c r="A80" t="s">
        <v>804</v>
      </c>
      <c r="B80" t="s">
        <v>805</v>
      </c>
      <c r="C80" t="s">
        <v>798</v>
      </c>
    </row>
    <row r="82" spans="1:5" x14ac:dyDescent="0.2">
      <c r="A82" t="s">
        <v>806</v>
      </c>
    </row>
    <row r="83" spans="1:5" x14ac:dyDescent="0.2">
      <c r="A83" t="s">
        <v>807</v>
      </c>
      <c r="B83" t="s">
        <v>77</v>
      </c>
      <c r="C83" t="s">
        <v>808</v>
      </c>
      <c r="D83" t="s">
        <v>21</v>
      </c>
      <c r="E83" t="s">
        <v>809</v>
      </c>
    </row>
    <row r="84" spans="1:5" x14ac:dyDescent="0.2">
      <c r="A84" t="s">
        <v>810</v>
      </c>
      <c r="B84" t="s">
        <v>811</v>
      </c>
      <c r="C84" t="s">
        <v>32</v>
      </c>
      <c r="D84" t="s">
        <v>812</v>
      </c>
      <c r="E84" t="s">
        <v>813</v>
      </c>
    </row>
    <row r="85" spans="1:5" x14ac:dyDescent="0.2">
      <c r="A85" t="s">
        <v>814</v>
      </c>
      <c r="B85" t="s">
        <v>815</v>
      </c>
      <c r="C85" t="s">
        <v>32</v>
      </c>
      <c r="D85" t="s">
        <v>812</v>
      </c>
      <c r="E85" t="s">
        <v>813</v>
      </c>
    </row>
    <row r="86" spans="1:5" x14ac:dyDescent="0.2">
      <c r="A86" t="s">
        <v>816</v>
      </c>
      <c r="B86" t="s">
        <v>817</v>
      </c>
      <c r="C86" t="s">
        <v>32</v>
      </c>
      <c r="D86" t="s">
        <v>812</v>
      </c>
      <c r="E86" t="s">
        <v>813</v>
      </c>
    </row>
    <row r="87" spans="1:5" x14ac:dyDescent="0.2">
      <c r="A87" t="s">
        <v>818</v>
      </c>
      <c r="B87" t="s">
        <v>819</v>
      </c>
      <c r="C87" t="s">
        <v>32</v>
      </c>
      <c r="D87" t="s">
        <v>812</v>
      </c>
      <c r="E87" t="s">
        <v>813</v>
      </c>
    </row>
    <row r="88" spans="1:5" x14ac:dyDescent="0.2">
      <c r="A88" t="s">
        <v>820</v>
      </c>
      <c r="B88" t="s">
        <v>821</v>
      </c>
      <c r="C88" t="s">
        <v>33</v>
      </c>
      <c r="D88" t="s">
        <v>812</v>
      </c>
      <c r="E88" t="s">
        <v>813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d2d24dc-7784-42ad-a576-f536bda6a418}" enabled="1" method="Standard" siteId="{816ef078-e1e2-4e49-b265-68b9d2a9ae9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Input Parameters</vt:lpstr>
      <vt:lpstr>Pricing Reference</vt:lpstr>
      <vt:lpstr>Cost Calculator</vt:lpstr>
      <vt:lpstr>Scenario Comparison</vt:lpstr>
      <vt:lpstr>Historical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Karangutkar, Mangesh</cp:lastModifiedBy>
  <dcterms:created xsi:type="dcterms:W3CDTF">2026-03-19T06:03:19Z</dcterms:created>
  <dcterms:modified xsi:type="dcterms:W3CDTF">2026-03-19T06:59:06Z</dcterms:modified>
</cp:coreProperties>
</file>